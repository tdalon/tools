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tables/table7.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tables/table8.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ctrlProps/ctrlProp6.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73ab4af1c4f4fde"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uid41890\Documents\GitHubPrivate\tools\powertool\"/>
    </mc:Choice>
  </mc:AlternateContent>
  <xr:revisionPtr revIDLastSave="0" documentId="13_ncr:1_{96284832-9457-4B1E-8354-30F85C5CD02B}" xr6:coauthVersionLast="45" xr6:coauthVersionMax="45" xr10:uidLastSave="{00000000-0000-0000-0000-000000000000}"/>
  <bookViews>
    <workbookView xWindow="-120" yWindow="-120" windowWidth="29040" windowHeight="15990" tabRatio="1000" activeTab="12" xr2:uid="{00000000-000D-0000-FFFF-FFFF00000000}"/>
  </bookViews>
  <sheets>
    <sheet name="Charts" sheetId="21" r:id="rId1"/>
    <sheet name="PivotTable" sheetId="22" r:id="rId2"/>
    <sheet name="Transform" sheetId="19" r:id="rId3"/>
    <sheet name="Profiles" sheetId="2" r:id="rId4"/>
    <sheet name="UserConfig" sheetId="13" r:id="rId5"/>
    <sheet name="GenTableConfig" sheetId="15" r:id="rId6"/>
    <sheet name="Attendees" sheetId="3" r:id="rId7"/>
    <sheet name="FeedImport" sheetId="12" r:id="rId8"/>
    <sheet name="FeedExport" sheetId="9" r:id="rId9"/>
    <sheet name="Likers" sheetId="23" r:id="rId10"/>
    <sheet name="Commenters" sheetId="4" r:id="rId11"/>
    <sheet name="Extract Emails" sheetId="5" r:id="rId12"/>
    <sheet name="AD_Fields" sheetId="14" r:id="rId13"/>
  </sheets>
  <functionGroups builtInGroupCount="19"/>
  <definedNames>
    <definedName name="_xlnm._FilterDatabase" localSheetId="12" hidden="1">AD_Fields!$A$4:$E$4</definedName>
    <definedName name="ADKey">UserConfig!$A$3</definedName>
    <definedName name="BlogUrl" localSheetId="9">Likers!$B$1</definedName>
    <definedName name="EventUrl">Attendees!$B$1</definedName>
    <definedName name="ExternalData_1" localSheetId="7" hidden="1">FeedImport!$A$1:$F$182</definedName>
    <definedName name="ExternalData_1" localSheetId="2" hidden="1">Transform!$A$1:$L$2</definedName>
    <definedName name="FeedUrl" localSheetId="8">FeedExport!$B$1</definedName>
    <definedName name="Filename">#REF!</definedName>
    <definedName name="GenTable_nbCol">GenTableConfig!$B$2</definedName>
    <definedName name="GenTable_picSize">GenTableConfig!$B$3</definedName>
    <definedName name="GenTable_tdFill">GenTableConfig!$B$4</definedName>
    <definedName name="GroupName">#REF!</definedName>
    <definedName name="LDAPDisplayName">AD_Fields!$D$5:$D$79</definedName>
    <definedName name="LNFileName" localSheetId="4">UserConfig!$E$2</definedName>
    <definedName name="LNKey">UserConfig!$A$2</definedName>
    <definedName name="LNServer" localSheetId="4">UserConfig!$E$1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QueryLink">Profiles!$D$1</definedName>
    <definedName name="QueryString">Profiles!$B$1</definedName>
    <definedName name="QueryTimestamp">Profiles!$C$1</definedName>
    <definedName name="Server">#REF!</definedName>
    <definedName name="Slicer_Country">#N/A</definedName>
    <definedName name="Slicer_Filtered_Tags">#N/A</definedName>
    <definedName name="SourceCode">'Extract Emails'!$B$1</definedName>
    <definedName name="Url">Commenters!$B$1</definedName>
  </definedNames>
  <calcPr calcId="191029"/>
  <pivotCaches>
    <pivotCache cacheId="0" r:id="rId1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2" l="1"/>
  <c r="K8" i="2"/>
  <c r="C7" i="2"/>
  <c r="K7" i="2"/>
  <c r="C6" i="2"/>
  <c r="K6" i="2"/>
  <c r="C5" i="2"/>
  <c r="K5" i="2"/>
  <c r="C4" i="2"/>
  <c r="K4" i="2"/>
  <c r="C3" i="2"/>
  <c r="K3" i="2"/>
  <c r="D4" i="3" l="1"/>
  <c r="D3" i="3"/>
  <c r="E4" i="4" l="1"/>
  <c r="E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Dalon, Thierry</author>
  </authors>
  <commentList>
    <comment ref="B3" authorId="0" shapeId="0" xr:uid="{BFD12960-0752-4825-BCE9-85667953F5B5}">
      <text/>
    </comment>
    <comment ref="B4" authorId="0" shapeId="0" xr:uid="{86F3EB85-4DB5-4922-B89F-3656E3EC91C7}">
      <text/>
    </comment>
    <comment ref="B5" authorId="0" shapeId="0" xr:uid="{9BFEE78B-F182-46BC-8B86-B72933B2F72C}">
      <text/>
    </comment>
    <comment ref="B6" authorId="0" shapeId="0" xr:uid="{742DB79A-E238-4DE5-9B1F-B4A89BE20D23}">
      <text/>
    </comment>
    <comment ref="B7" authorId="0" shapeId="0" xr:uid="{0CBADD7A-25C3-43DD-93E9-3EAEA93D47C9}">
      <text/>
    </comment>
    <comment ref="B8" authorId="0" shapeId="0" xr:uid="{79F5A761-58FF-4A54-94E8-233E0C881E3F}">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Dalon, Thierry</author>
    <author>Thierry Dalon</author>
  </authors>
  <commentList>
    <comment ref="A2" authorId="0" shapeId="0" xr:uid="{C46B7F84-1C57-4F27-B83C-87550EACA8EA}">
      <text>
        <r>
          <rPr>
            <b/>
            <sz val="9"/>
            <color indexed="81"/>
            <rFont val="Tahoma"/>
            <family val="2"/>
          </rPr>
          <t>Can be email or uid</t>
        </r>
      </text>
    </comment>
    <comment ref="A4" authorId="0" shapeId="0" xr:uid="{6F0AA67D-CB7D-435E-BB9E-6D3BE1E281EA}">
      <text>
        <r>
          <rPr>
            <b/>
            <sz val="9"/>
            <color indexed="81"/>
            <rFont val="Tahoma"/>
            <family val="2"/>
          </rPr>
          <t>If 'snx:userid' column exists, it will be used. Else shall be column name where email is located.
For Tags email is required!</t>
        </r>
      </text>
    </comment>
    <comment ref="A9" authorId="0" shapeId="0" xr:uid="{8DCDEF9E-8687-41AC-99B1-E7265A3BC1DD}">
      <text>
        <r>
          <rPr>
            <b/>
            <sz val="9"/>
            <color indexed="81"/>
            <rFont val="Tahoma"/>
            <family val="2"/>
          </rPr>
          <t>email</t>
        </r>
      </text>
    </comment>
    <comment ref="A12" authorId="0" shapeId="0" xr:uid="{BFEF0DD0-EAC0-4628-B515-5F8B6BF2B1FD}">
      <text>
        <r>
          <rPr>
            <sz val="9"/>
            <color indexed="81"/>
            <rFont val="Tahoma"/>
            <family val="2"/>
          </rPr>
          <t>Formel to get BU from Department:
=LEFT([@Department],FIND("/",[@Department])-1)</t>
        </r>
      </text>
    </comment>
    <comment ref="A14" authorId="0" shapeId="0" xr:uid="{B641CB04-7F6B-44EA-8B8F-A4014C983ADC}">
      <text>
        <r>
          <rPr>
            <b/>
            <sz val="9"/>
            <color indexed="81"/>
            <rFont val="Tahoma"/>
            <family val="2"/>
          </rPr>
          <t>Windows username/ uid</t>
        </r>
      </text>
    </comment>
    <comment ref="B16" authorId="1" shapeId="0" xr:uid="{00000000-0006-0000-0800-000002000000}">
      <text>
        <r>
          <rPr>
            <sz val="9"/>
            <color indexed="81"/>
            <rFont val="Tahoma"/>
            <family val="2"/>
          </rPr>
          <t>If this Column is available it will be filled with tags from ConNext profile.</t>
        </r>
      </text>
    </comment>
    <comment ref="A17" authorId="0" shapeId="0" xr:uid="{0EB40788-2C30-4FBE-95C7-7C9463F7BF29}">
      <text>
        <r>
          <rPr>
            <sz val="9"/>
            <color indexed="81"/>
            <rFont val="Tahoma"/>
            <family val="2"/>
          </rPr>
          <t>Apply filter to Tags Column. Output is stored in Column matching ColName. Leave empty if not used.
Call Macro 'FilterTag'</t>
        </r>
      </text>
    </comment>
    <comment ref="A18" authorId="1" shapeId="0" xr:uid="{00000000-0006-0000-0800-000003000000}">
      <text>
        <r>
          <rPr>
            <sz val="9"/>
            <color indexed="81"/>
            <rFont val="Tahoma"/>
            <family val="2"/>
          </rPr>
          <t>If ColNane filled, profile picture will be added as comment to the column.</t>
        </r>
      </text>
    </comment>
    <comment ref="A19" authorId="1" shapeId="0" xr:uid="{BFF5DE3D-A5FA-48F3-ACBE-B463C0A689C7}">
      <text>
        <r>
          <rPr>
            <sz val="9"/>
            <color indexed="81"/>
            <rFont val="Tahoma"/>
            <family val="2"/>
          </rPr>
          <t>If ColNane filled, HTML code for mention will be written in this column.</t>
        </r>
      </text>
    </comment>
    <comment ref="A20" authorId="0" shapeId="0" xr:uid="{35D7D5E9-3A4C-41FC-91CD-80043DA34D3D}">
      <text>
        <r>
          <rPr>
            <sz val="9"/>
            <color indexed="81"/>
            <rFont val="Tahoma"/>
            <family val="2"/>
          </rPr>
          <t>Based on ConNext Profile json.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Dalon, Thierry</author>
  </authors>
  <commentList>
    <comment ref="B1" authorId="0" shapeId="0" xr:uid="{A652A014-1AF2-4970-A923-B619D371EBD1}">
      <text>
        <r>
          <rPr>
            <b/>
            <sz val="9"/>
            <color indexed="81"/>
            <rFont val="Tahoma"/>
            <family val="2"/>
          </rPr>
          <t xml:space="preserve">Use Named Cells following naming convention with prefix GenTable_ for univocality.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A1" authorId="0" shapeId="0" xr:uid="{7CF84D43-FBFF-410B-9200-2171E90CD9DF}">
      <text>
        <r>
          <rPr>
            <sz val="9"/>
            <color indexed="81"/>
            <rFont val="Tahoma"/>
            <family val="2"/>
          </rPr>
          <t xml:space="preserve">Copy Url of blog post in B1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A1" authorId="0" shapeId="0" xr:uid="{00000000-0006-0000-0400-000001000000}">
      <text>
        <r>
          <rPr>
            <sz val="9"/>
            <color indexed="81"/>
            <rFont val="Tahoma"/>
            <family val="2"/>
          </rPr>
          <t xml:space="preserve">Copy Url of blog post in B1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uidl9777</author>
  </authors>
  <commentList>
    <comment ref="A4" authorId="0" shapeId="0" xr:uid="{00000000-0006-0000-0A00-000001000000}">
      <text>
        <r>
          <rPr>
            <b/>
            <sz val="9"/>
            <color indexed="81"/>
            <rFont val="Tahoma"/>
            <family val="2"/>
          </rPr>
          <t>uidl9777:</t>
        </r>
        <r>
          <rPr>
            <sz val="9"/>
            <color indexed="81"/>
            <rFont val="Tahoma"/>
            <family val="2"/>
          </rPr>
          <t xml:space="preserve">
This is a Field label. It is not the real name of the object</t>
        </r>
      </text>
    </comment>
    <comment ref="D4" authorId="0" shapeId="0" xr:uid="{00000000-0006-0000-0A00-000002000000}">
      <text>
        <r>
          <rPr>
            <b/>
            <sz val="9"/>
            <color indexed="81"/>
            <rFont val="Tahoma"/>
            <family val="2"/>
          </rPr>
          <t>uidl9777:</t>
        </r>
        <r>
          <rPr>
            <sz val="9"/>
            <color indexed="81"/>
            <rFont val="Tahoma"/>
            <family val="2"/>
          </rPr>
          <t xml:space="preserve">
This is the property to be used for the AD filters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FeedExport" description="Connection to the 'FeedExport' query in the workbook." type="5" refreshedVersion="6" background="1" saveData="1">
    <dbPr connection="Provider=Microsoft.Mashup.OleDb.1;Data Source=$Workbook$;Location=FeedExport;Extended Properties=&quot;&quot;" command="SELECT * FROM [FeedExport]"/>
  </connection>
  <connection id="2" xr16:uid="{90B15835-4312-4052-B313-177941250689}" keepAlive="1" name="Query - ProfilesTable" description="Connection to the 'ProfilesTable' query in the workbook." type="5" refreshedVersion="6" background="1" saveData="1">
    <dbPr connection="Provider=Microsoft.Mashup.OleDb.1;Data Source=$Workbook$;Location=ProfilesTable;Extended Properties=&quot;&quot;" command="SELECT * FROM [ProfilesTable]"/>
  </connection>
</connections>
</file>

<file path=xl/sharedStrings.xml><?xml version="1.0" encoding="utf-8"?>
<sst xmlns="http://schemas.openxmlformats.org/spreadsheetml/2006/main" count="1662" uniqueCount="430">
  <si>
    <t>snx:userid</t>
  </si>
  <si>
    <t>email</t>
  </si>
  <si>
    <t>name</t>
  </si>
  <si>
    <t>ConNext Profile</t>
  </si>
  <si>
    <t>thierry.dalon@continental-corporation.com</t>
  </si>
  <si>
    <t>Thierry Dalon</t>
  </si>
  <si>
    <t>9C6BF7AEB4195B66C125803600416EFA</t>
  </si>
  <si>
    <t>Query</t>
  </si>
  <si>
    <t>Url</t>
  </si>
  <si>
    <t>Tags</t>
  </si>
  <si>
    <t>http://connext.conti.de/blogs/2c34feac-e93f-484e-b486-bc9f0ce339fc/entry/Are_YOU_our_next_Learning_HERO</t>
  </si>
  <si>
    <t>ansgar.kempkes@continental-corporation.com</t>
  </si>
  <si>
    <t>Ansgar Kempkes</t>
  </si>
  <si>
    <t>68E37A3BD6F18134482577D2002E1263</t>
  </si>
  <si>
    <t>harald.schirmer@conti.de</t>
  </si>
  <si>
    <t>366EF0FDA1C1FACEC12577E20025A911</t>
  </si>
  <si>
    <t>thomas.schmidt@continental-corporation.com</t>
  </si>
  <si>
    <t>Thomas Schmidt</t>
  </si>
  <si>
    <t>F83BC888B4D36DA1C12577E20025AA6F</t>
  </si>
  <si>
    <t>Chris.Schaedler@continental-corporation.com</t>
  </si>
  <si>
    <t>Chris Schaedler</t>
  </si>
  <si>
    <t>2DFD7C13AFCE8B69C12575D10016220F</t>
  </si>
  <si>
    <t>Department</t>
  </si>
  <si>
    <t>OfficeCity</t>
  </si>
  <si>
    <t>OfficeCountry</t>
  </si>
  <si>
    <t>InternetAddress</t>
  </si>
  <si>
    <t>Shortname</t>
  </si>
  <si>
    <t>Lastname</t>
  </si>
  <si>
    <t>Firstname</t>
  </si>
  <si>
    <t>names.nsf</t>
  </si>
  <si>
    <t>rblc006/srvc7/srvc/cag</t>
  </si>
  <si>
    <t>Key</t>
  </si>
  <si>
    <t>JobTitle</t>
  </si>
  <si>
    <t>Source Code</t>
  </si>
  <si>
    <t>EventUrl</t>
  </si>
  <si>
    <t>entry.updated</t>
  </si>
  <si>
    <t>entry.title.Element:Text</t>
  </si>
  <si>
    <t>entry.author.email</t>
  </si>
  <si>
    <t>entry.author.name</t>
  </si>
  <si>
    <t>entry.content.Element:Text</t>
  </si>
  <si>
    <t>ConNext</t>
  </si>
  <si>
    <t>Notes</t>
  </si>
  <si>
    <t>City</t>
  </si>
  <si>
    <t>Country</t>
  </si>
  <si>
    <t>AD</t>
  </si>
  <si>
    <t>Source</t>
  </si>
  <si>
    <t>ColName</t>
  </si>
  <si>
    <t>wWWHomePage</t>
  </si>
  <si>
    <t>RW</t>
  </si>
  <si>
    <t>String</t>
  </si>
  <si>
    <t>HomePage</t>
  </si>
  <si>
    <t>whenCreated</t>
  </si>
  <si>
    <t>R</t>
  </si>
  <si>
    <t>DateTime</t>
  </si>
  <si>
    <t>Created</t>
  </si>
  <si>
    <t>whenChanged</t>
  </si>
  <si>
    <t>Modified</t>
  </si>
  <si>
    <t>userWorkstations</t>
  </si>
  <si>
    <t>LogonWorkstations</t>
  </si>
  <si>
    <t>userPrincipalName</t>
  </si>
  <si>
    <t>UserPrincipalName</t>
  </si>
  <si>
    <t>userCertificate</t>
  </si>
  <si>
    <t>ADCollection</t>
  </si>
  <si>
    <t>Certificates</t>
  </si>
  <si>
    <t>userAccountControl (bit mask 2097152)</t>
  </si>
  <si>
    <t>userAccountControl</t>
  </si>
  <si>
    <t>Boolean</t>
  </si>
  <si>
    <t>UseDESKeyOnly</t>
  </si>
  <si>
    <t>userAccountControl (bit mask 16777216)</t>
  </si>
  <si>
    <t>TrustedToAuthForDelegation</t>
  </si>
  <si>
    <t>userAccountControl (bit mask 524288)</t>
  </si>
  <si>
    <t>TrustedForDelegation</t>
  </si>
  <si>
    <t>userAccountControl (bit mask 262144)</t>
  </si>
  <si>
    <t>SmartcardLogonRequired</t>
  </si>
  <si>
    <t>userAccountControl (bit mask 32)</t>
  </si>
  <si>
    <t>PasswordNotRequired</t>
  </si>
  <si>
    <t>userAccountControl (bit mask 65536)</t>
  </si>
  <si>
    <t>PasswordNeverExpires</t>
  </si>
  <si>
    <t>userAccountControl (bit mask 131072)</t>
  </si>
  <si>
    <t>MNSLogonAccount</t>
  </si>
  <si>
    <t>userAccountControl (bit mask 8)</t>
  </si>
  <si>
    <t>HomedirRequired</t>
  </si>
  <si>
    <t>userAccountControl (bit mask not 2)</t>
  </si>
  <si>
    <t>Enabled</t>
  </si>
  <si>
    <t>userAccountControl (bit mask 4194304)</t>
  </si>
  <si>
    <t>DoesNotRequirePreAuth</t>
  </si>
  <si>
    <t>userAccountControl (bit mask 128)</t>
  </si>
  <si>
    <t>AllowReversiblePasswordEncryption</t>
  </si>
  <si>
    <t>userAccountControl (bit mask 1048576)</t>
  </si>
  <si>
    <t>AccountNotDelegated</t>
  </si>
  <si>
    <t>title</t>
  </si>
  <si>
    <t>Title</t>
  </si>
  <si>
    <t>telephoneNumber</t>
  </si>
  <si>
    <t>OfficePhone</t>
  </si>
  <si>
    <t>streetAddress</t>
  </si>
  <si>
    <t>StreetAddress</t>
  </si>
  <si>
    <t>st</t>
  </si>
  <si>
    <t>State</t>
  </si>
  <si>
    <t>sn</t>
  </si>
  <si>
    <t>Surname</t>
  </si>
  <si>
    <t>sIDHistory</t>
  </si>
  <si>
    <t>SIDHistory</t>
  </si>
  <si>
    <t>servicePrincipalName</t>
  </si>
  <si>
    <t>ServicePrincipalNames</t>
  </si>
  <si>
    <t>scriptPath</t>
  </si>
  <si>
    <t>ScriptPath</t>
  </si>
  <si>
    <t>sAMAccountName</t>
  </si>
  <si>
    <t>SamAccountName</t>
  </si>
  <si>
    <t>pwdLastSet, local time</t>
  </si>
  <si>
    <t>pwdLastSet</t>
  </si>
  <si>
    <t>PasswordLastSet</t>
  </si>
  <si>
    <t>profilePath</t>
  </si>
  <si>
    <t>ProfilePath</t>
  </si>
  <si>
    <t>postOfficeBox</t>
  </si>
  <si>
    <t>POBox</t>
  </si>
  <si>
    <t>postalCode</t>
  </si>
  <si>
    <t>PostalCode</t>
  </si>
  <si>
    <t>physicalDeliveryOfficeName</t>
  </si>
  <si>
    <t>Office</t>
  </si>
  <si>
    <t>objectSID converted to string</t>
  </si>
  <si>
    <t>Sid</t>
  </si>
  <si>
    <t>SID</t>
  </si>
  <si>
    <t>objectGUID converted to string</t>
  </si>
  <si>
    <t>objectGUID</t>
  </si>
  <si>
    <t>Guid</t>
  </si>
  <si>
    <t>ObjectGUID</t>
  </si>
  <si>
    <t>objectClass, most specific value</t>
  </si>
  <si>
    <t>objectClass</t>
  </si>
  <si>
    <t>ObjectClass</t>
  </si>
  <si>
    <t>objectCategory</t>
  </si>
  <si>
    <t>ObjectCategory</t>
  </si>
  <si>
    <t>o</t>
  </si>
  <si>
    <t>Organization</t>
  </si>
  <si>
    <t>nTSecurityDescriptor</t>
  </si>
  <si>
    <t>ProtectedFromAccidentalDeletion</t>
  </si>
  <si>
    <t>CannotChangePassword</t>
  </si>
  <si>
    <t>msDS-User-Account-Control-Computed (bit mask 8388608) (see Note 1)</t>
  </si>
  <si>
    <t>msDS-User-Account-Control-Computed</t>
  </si>
  <si>
    <t>PasswordExpired</t>
  </si>
  <si>
    <t>msDS-User-Account-Control-Computed (bit mask 16)</t>
  </si>
  <si>
    <t>LockedOut</t>
  </si>
  <si>
    <t>mobile</t>
  </si>
  <si>
    <t>MobilePhone</t>
  </si>
  <si>
    <t>middleName</t>
  </si>
  <si>
    <t>OtherName</t>
  </si>
  <si>
    <t>memberOf</t>
  </si>
  <si>
    <t>MemberOf</t>
  </si>
  <si>
    <t>manager</t>
  </si>
  <si>
    <t>String (DN)</t>
  </si>
  <si>
    <t>Manager</t>
  </si>
  <si>
    <t>mail</t>
  </si>
  <si>
    <t>EmailAddress</t>
  </si>
  <si>
    <t>lockoutTime, converted to local time</t>
  </si>
  <si>
    <t>lockoutTime</t>
  </si>
  <si>
    <t>AccountLockoutTime</t>
  </si>
  <si>
    <t>lastLogonTimeStamp, converted to local time</t>
  </si>
  <si>
    <t>lastLogonTimeStamp</t>
  </si>
  <si>
    <t>LastLogonDate</t>
  </si>
  <si>
    <t>lastKnownParent</t>
  </si>
  <si>
    <t>LastKnownParent</t>
  </si>
  <si>
    <t>l</t>
  </si>
  <si>
    <t>isDeleted</t>
  </si>
  <si>
    <t>Deleted</t>
  </si>
  <si>
    <t>initials</t>
  </si>
  <si>
    <t>Initials</t>
  </si>
  <si>
    <t>If pwdLastSet = 0</t>
  </si>
  <si>
    <t>W</t>
  </si>
  <si>
    <t>ChangePasswordAtLogon</t>
  </si>
  <si>
    <t>homePhone</t>
  </si>
  <si>
    <t>HomePhone</t>
  </si>
  <si>
    <t>homeDrive</t>
  </si>
  <si>
    <t>HomeDrive</t>
  </si>
  <si>
    <t>homeDirectory</t>
  </si>
  <si>
    <t>HomeDirectory</t>
  </si>
  <si>
    <t>Group with primaryGroupToken</t>
  </si>
  <si>
    <t>PrimaryGroup</t>
  </si>
  <si>
    <t>givenName</t>
  </si>
  <si>
    <t>GivenName</t>
  </si>
  <si>
    <t>facsimileTelephoneNumber</t>
  </si>
  <si>
    <t>Fax</t>
  </si>
  <si>
    <t>employeeNumber</t>
  </si>
  <si>
    <t>EmployeeNumber</t>
  </si>
  <si>
    <t>employeeID</t>
  </si>
  <si>
    <t>EmployeeID</t>
  </si>
  <si>
    <t>division</t>
  </si>
  <si>
    <t>Division</t>
  </si>
  <si>
    <t>distinguishedName</t>
  </si>
  <si>
    <t>DistinguishedName</t>
  </si>
  <si>
    <t>displayName</t>
  </si>
  <si>
    <t>DisplayName</t>
  </si>
  <si>
    <t>description</t>
  </si>
  <si>
    <t>Description</t>
  </si>
  <si>
    <t>department</t>
  </si>
  <si>
    <t>company</t>
  </si>
  <si>
    <t>Company</t>
  </si>
  <si>
    <t>cn</t>
  </si>
  <si>
    <t>Name</t>
  </si>
  <si>
    <t>CN</t>
  </si>
  <si>
    <t>canonicalName</t>
  </si>
  <si>
    <t>CanonicalName</t>
  </si>
  <si>
    <t>c (2 character abbreviation)</t>
  </si>
  <si>
    <t>c</t>
  </si>
  <si>
    <t>badPwdCount</t>
  </si>
  <si>
    <t>Int32</t>
  </si>
  <si>
    <t>BadLogonCount</t>
  </si>
  <si>
    <t>badPasswordTime, converted to local time</t>
  </si>
  <si>
    <t>badPasswordTime</t>
  </si>
  <si>
    <t>LastBadPasswordAttempt</t>
  </si>
  <si>
    <t>accountExpires, converted to local time</t>
  </si>
  <si>
    <t>accountExpires</t>
  </si>
  <si>
    <t>AccountExpirationDate</t>
  </si>
  <si>
    <t>Additional remarks</t>
  </si>
  <si>
    <t>LDAPDisplayName</t>
  </si>
  <si>
    <t>R/RW</t>
  </si>
  <si>
    <t>Syntax</t>
  </si>
  <si>
    <t xml:space="preserve">AD Property </t>
  </si>
  <si>
    <t>#TYPE Microsoft.ActiveDirectory.Management.ADUser</t>
  </si>
  <si>
    <t>Overview All AD Attributes for users</t>
  </si>
  <si>
    <t xml:space="preserve">Business Unit </t>
  </si>
  <si>
    <t>FieldName</t>
  </si>
  <si>
    <t>Mention</t>
  </si>
  <si>
    <t>Profile Picture</t>
  </si>
  <si>
    <t>nbCol</t>
  </si>
  <si>
    <t>picSize</t>
  </si>
  <si>
    <t>tdFill</t>
  </si>
  <si>
    <t>100px</t>
  </si>
  <si>
    <t>&lt;td&gt;&lt;/td&gt;</t>
  </si>
  <si>
    <t>&lt;td style='text-align: center;'&gt;&lt;a href='http://connext.conti.de/wikis/home/wiki/W354104eee9d6_4a63_9c48_32eb87112262/page/CoachNet Specialist'&gt;&lt;img width='$picSize' src='http://connext.conti.de/files/form/anonymous/api/library/df3541d3-1ef2-4799-9212-d269c9d79d35/document/672f484e-7bce-4074-8f2a-c64463ae75e6/media/Wanted_CoachNetter_Example.jpg'/&gt;&lt;/a&gt;&lt;/td&gt;</t>
  </si>
  <si>
    <t>Parameter</t>
  </si>
  <si>
    <t>Value</t>
  </si>
  <si>
    <t>&lt;h1 id="ii1" dir="ltr"&gt;Lead Test Center explanation/introduction&lt;/h1&gt; &lt;p dir="ltr"&gt;_x000D_
  &lt;a href="https://workspace1.conti.de/content/00000005/PC/pro4/bscft/Team Documents/12_Competence_Footprint\010 LTC Concept and Competence Matrix"&gt;&lt;img width="32" src="http://connext.conti.de/files/basic/anonymous/api/library/9d7cc0b6-434a-4f44-9091-6f13fbac8a4e/document/b4f454cc-682c-4930-9e17-0084f127f106/media/icon_sharepoint.png" /&gt;&lt;/a&gt; &lt;a href="https://workspace1.conti.de/content/00000005/PC/pro4/bscft/Team Documents/12_Competence_Footprint\010 LTC Concept and Competence Matrix"&gt;010 LTC Concept and Competence Matrix&lt;/a&gt; &lt;a href="https://workspace1.conti.de/content/00000005/PC/pro4/bscft/Team Documents/12_Competence_Footprint/010 LTC Concept and Competence Matrix" target="_blank"&gt;SharePoint site&lt;/a&gt;&lt;/p&gt; &lt;p dir="ltr"&gt;&lt;a href="http://connext.conti.de/forums/html\forum?id=a6353333-94e7-4d86-9a85-4e290e3c3aa8&amp;amp;newCreated=true"&gt;&lt;img width="32" src="/wikis/form/api/wiki/245c767b-8d60-4da1-a668-4c178fc767db/page/6007bd59-0e30-46e0-94ec-c590d2c06dac/attachment/f92a95fa-b19e-43f6-99aa-0acb6efcc18b/media/forums.jpg?preventCache=1526323237410" /&gt;&lt;/a&gt; &lt;a href="http://connext.conti.de/forums/html\forum?id=a6353333-94e7-4d86-9a85-4e290e3c3aa8"&gt;Forum&lt;/a&gt;&lt;/p&gt; &lt;h1 id="ii2" dir="ltr"&gt;List of active Lead Test Centers&lt;/h1&gt; &lt;table dir="ltr " border="1 "&gt;_x000D_
  &lt;tbody&gt;     &lt;tr&gt;_x000D_
      &lt;td&gt;&lt;strong&gt;Function Area&lt;/strong&gt;&lt;/td&gt;       &lt;td&gt;&lt;strong&gt;Test Responsible L1&lt;/strong&gt;&lt;/td&gt;       &lt;td&gt;&lt;strong&gt;Lead Test Center Head&lt;/strong&gt;&lt;/td&gt;       &lt;td&gt;&lt;strong&gt;LTC  Location&lt;/strong&gt;&lt;/td&gt;       &lt;td&gt;&lt;strong&gt;Link to LTC Information&lt;/strong&gt;&lt;/td&gt;     &lt;/tr&gt;_x000D_
    &lt;tr&gt;       &lt;td&gt;BCM_x000D_
_x000D_
      &lt;/td&gt;       &lt;td&gt;&lt;span contenteditable="false" class="vcard"&gt;&lt;a href="https://connext.conti.de/profiles/html/profileView.do?userid=E30870CCD1723E38C12573A60032B9C5 " class="fn url"&gt;@Ruediger Wagner&lt;/a&gt;&lt;span class="x-lconn-userid" style="display: none;"&gt;E30870CCD1723E38C12573A60032B9C5 &lt;/span&gt;&lt;/span&gt;&lt;/td&gt;       &lt;td&gt;&lt;span contenteditable="false" class="vcard"&gt;&lt;a href="https://connext.conti.de/profiles/html/profileView.do?userid=C988592D972E19B9C12573A6003223FF " class="fn url"&gt;@Thomas Simmerl&lt;/a&gt;&lt;span class="x-lconn-userid" style="display: none;"&gt;C988592D972E19B9C12573A6003223FF &lt;/span&gt;&lt;/span&gt;       &lt;/td&gt;_x000D_
      &lt;td&gt;RGB_x000D_
_x000D_
      &lt;/td&gt;       &lt;td&gt;_x000D_
_x000D_
        &lt;br /&gt;&lt;/td&gt;     &lt;/tr&gt;_x000D_
    &lt;tr&gt;       &lt;td&gt;DC/DC_x000D_
_x000D_
      &lt;/td&gt;       &lt;td&gt;&lt;span contenteditable="false" class="vcard"&gt;&lt;a href="https://connext.conti.de/profiles/html/profileView.do?userid=82E79DA461492F0BC12573A6002D93E5 " class="fn url"&gt;@Martin Bomber&lt;/a&gt;&lt;span class="x-lconn-userid" style="display: none;"&gt;82E79DA461492F0BC12573A6002D93E5 &lt;/span&gt;&lt;/span&gt;       &lt;/td&gt;_x000D_
      &lt;td&gt;&lt;span contenteditable="false" class="vcard"&gt;&lt;a href="https://connext.conti.de/profiles/html/profileView.do?userid=DCDA0568C3554E17C125744800427228 " class="fn url"&gt;@Tao Feng&lt;/a&gt;&lt;span class="x-lconn-userid" style="display: none;"&gt;DCDA0568C3554E17C125744800427228 &lt;/span&gt;&lt;/span&gt;       &lt;/td&gt;_x000D_
      &lt;td&gt;SHA_x000D_
_x000D_
      &lt;/td&gt;       &lt;td&gt;_x000D_
_x000D_
        &lt;br /&gt;&lt;/td&gt;     &lt;/tr&gt;_x000D_
    &lt;tr&gt;       &lt;td&gt;LCM_x000D_
_x000D_
      &lt;/td&gt;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&lt;td&gt;&lt;span contenteditable="false" class="vcard"&gt;&lt;a href="https://connext.conti.de/profiles/html/profileView.do?userid=699E426D68E18923C12573A600327BFB " class="fn url"&gt;@Florin Tomescu&lt;/a&gt;&lt;span class="x-lconn-userid" style="display: none;"&gt;699E426D68E18923C12573A600327BFB &lt;/span&gt;&lt;/span&gt;       &lt;/td&gt;_x000D_
      &lt;td&gt;IAS / VIE_x000D_
_x000D_
      &lt;/td&gt;       &lt;td&gt;_x000D_
        &lt;a style="text-decoration: underline; " href="http://connext.conti.de/communities/service/html/communitystart?communityUuid=da605081-15ff-4cb9-b379-82891b346efb "&gt;Community LTC Light Projects&lt;/a&gt;_x000D_
_x000D_
      &lt;/td&gt;     &lt;/tr&gt;_x000D_
    &lt;tr&gt;       &lt;td&gt;AS-PASE&lt;/td&gt;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&lt;td&gt;&lt;span contenteditable="false" class="vcard"&gt;&lt;a href="https://connext.conti.de/profiles/html/profileView.do?userid=C12573A000240D45C12573A600315363 " class="fn url"&gt;@Silvia Iulia Pana&lt;/a&gt;&lt;span class="x-lconn-userid" style="display: none;"&gt;C12573A000240D45C12573A600315363 &lt;/span&gt;&lt;/span&gt;       &lt;/td&gt;_x000D_
      &lt;td&gt;TSR_x000D_
_x000D_
      &lt;/td&gt;       &lt;td&gt;&lt;a wiki="W1d0f7e400e73_4328_9930_7e375562b15c" href="http://connext.conti.de/wikis/home?lang=en_US#/wiki/W1d0f7e400e73_4328_9930_7e375562b15c/page/Access Systems " id="wikiLink1493224365983 " page="Access Systems "&gt;&lt;span style="text-decoration: underline; "&gt;Wiki: LTC Access Systems&lt;/span&gt;&lt;/a&gt;_x000D_
_x000D_
      &lt;/td&gt;     &lt;/tr&gt;_x000D_
    &lt;tr&gt;       &lt;td&gt;AS-Smart Access&lt;/td&gt;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&lt;td&gt;&lt;span contenteditable="false" class="vcard"&gt;&lt;a href="https://connext.conti.de/profiles/html/profileView.do?userid=EBD1BDF5F6D016D0C12573A6002DE1A3 " class="fn url"&gt;@Peter Braun&lt;/a&gt;&lt;span class="x-lconn-userid" style="display: none;"&gt;EBD1BDF5F6D016D0C12573A6002DE1A3 &lt;/span&gt;&lt;/span&gt;       &lt;/td&gt;_x000D_
      &lt;td&gt;RGB       &lt;/td&gt;_x000D_
      &lt;td&gt;&lt;br /&gt;&lt;/td&gt;     &lt;/tr&gt;_x000D_
    &lt;tr&gt;       &lt;td&gt;AS-EasyPase&lt;/td&gt;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&lt;td&gt;&lt;span contenteditable="false" class="vcard"&gt;&lt;a href="https://connext.conti.de/profiles/html/profileView.do?userid=DCDA0568C3554E17C125744800427228 " class="fn url"&gt;@Tao Feng&lt;/a&gt;&lt;span class="x-lconn-userid" style="display: none;"&gt;DCDA0568C3554E17C125744800427228 &lt;/span&gt;&lt;/span&gt;       &lt;/td&gt;_x000D_
      &lt;td&gt;SHA       &lt;/td&gt;_x000D_
      &lt;td&gt;_x000D_
_x000D_
        &lt;br /&gt;&lt;/td&gt;     &lt;/tr&gt;_x000D_
    &lt;tr&gt;       &lt;td&gt;AS-Key, AS-MFST&lt;/td&gt;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&lt;td&gt;&lt;span contenteditable="false" class="vcard"&gt;&lt;a href="https://connext.conti.de/profiles/html/profileView.do?userid=A7F0E63C084B12B3C12573A6002DE7CB " class="fn url"&gt;@Ciprian Chedves&lt;/a&gt;&lt;span class="x-lconn-userid" style="display: none;"&gt;A7F0E63C084B12B3C12573A6002DE7CB &lt;/span&gt;&lt;/span&gt;       &lt;/td&gt;_x000D_
      &lt;td&gt;TSR_x000D_
_x000D_
      &lt;/td&gt;       &lt;td&gt;_x000D_
_x000D_
        &lt;br /&gt;&lt;/td&gt;     &lt;/tr&gt;_x000D_
    &lt;tr&gt;       &lt;td&gt;SCU_x000D_
_x000D_
      &lt;/td&gt;       &lt;td&gt;&lt;span contenteditable="false" class="vcard"&gt;&lt;a href="https://connext.conti.de/profiles/html/profileView.do?userid=82E79DA461492F0BC12573A6002D93E5 " class="fn url"&gt;@Martin Bomber&lt;/a&gt;&lt;span class="x-lconn-userid" style="display: none;"&gt;82E79DA461492F0BC12573A6002D93E5 &lt;/span&gt;&lt;/span&gt;       &lt;/td&gt;_x000D_
      &lt;td&gt;&lt;span contenteditable="false" class="vcard"&gt;&lt;a href="https://connext.conti.de/profiles/html/profileView.do?userid=CBF4245592E04F2FC12577B00028810B " class="fn url"&gt;@Bianca Mate&lt;/a&gt;&lt;span class="x-lconn-userid" style="display: none;"&gt;CBF4245592E04F2FC12577B00028810B &lt;/span&gt;&lt;/span&gt;       &lt;/td&gt;_x000D_
      &lt;td&gt;SIB_x000D_
_x000D_
      &lt;/td&gt;       &lt;td&gt;&lt;a href="http://connext.conti.de/communities/service/html/communitystart?communityUuid=a9157ae5-2068-42df-9d3b-cd6d94821960 "&gt;&lt;span style="text-decoration: underline; "&gt;Community LTC SCU&lt;/span&gt;&lt;/a&gt;_x000D_
_x000D_
      &lt;/td&gt;     &lt;/tr&gt;_x000D_
    &lt;tr&gt;       &lt;td&gt;Pneumatic Seat_x000D_
_x000D_
      &lt;/td&gt;       &lt;td&gt;&lt;span contenteditable="false" class="vcard"&gt;&lt;a href="https://connext.conti.de/profiles/html/profileView.do?userid=82E79DA461492F0BC12573A6002D93E5 " class="fn url"&gt;@Martin Bomber&lt;/a&gt;&lt;span class="x-lconn-userid" style="display: none;"&gt;82E79DA461492F0BC12573A6002D93E5 &lt;/span&gt;&lt;/span&gt;       &lt;/td&gt;_x000D_
      &lt;td&gt;&lt;span contenteditable="false" class="vcard"&gt;&lt;a href="https://connext.conti.de/profiles/html/profileView.do?userid=C4F4B437765222A8C12577E20025AC74 " class="fn url"&gt;@Maximilian Baier&lt;/a&gt;&lt;span class="x-lconn-userid" style="display: none;"&gt;C4F4B437765222A8C12577E20025AC74 &lt;/span&gt;&lt;/span&gt;       &lt;/td&gt;_x000D_
      &lt;td&gt;ING_x000D_
_x000D_
      &lt;/td&gt;       &lt;td&gt;_x000D_
_x000D_
        &lt;br /&gt;&lt;/td&gt;     &lt;/tr&gt;_x000D_
    &lt;tr&gt;       &lt;td&gt;PC DCU_x000D_
_x000D_
      &lt;/td&gt;       &lt;td&gt;&lt;span contenteditable="false" class="vcard"&gt;&lt;a href="https://connext.conti.de/profiles/html/profileView.do?userid=82E79DA461492F0BC12573A6002D93E5 " class="fn url"&gt;@Martin Bomber&lt;/a&gt;&lt;span class="x-lconn-userid" style="display: none;"&gt;82E79DA461492F0BC12573A6002D93E5 &lt;/span&gt;&lt;/span&gt;       &lt;/td&gt;_x000D_
      &lt;td&gt;&lt;span contenteditable="false" class="vcard"&gt;&lt;a href="https://connext.conti.de/profiles/html/profileView.do?userid=CBF4245592E04F2FC12577B00028810B " class="fn url"&gt;@Bianca Mate&lt;/a&gt;&lt;span class="x-lconn-userid" style="display: none;"&gt;CBF4245592E04F2FC12577B00028810B &lt;/span&gt;&lt;/span&gt;       &lt;/td&gt;_x000D_
      &lt;td&gt;SIB_x000D_
_x000D_
      &lt;/td&gt;       &lt;td&gt;_x000D_
        &lt;a href="http://connext.conti.de/communities/service/html/communitystart?communityUuid=a9157ae5-2068-42df-9d3b-cd6d94821960 "&gt;&lt;span style="text-decoration: underline; "&gt;Community LTC DCU&lt;/span&gt;&lt;/a&gt;_x000D_
_x000D_
      &lt;/td&gt;     &lt;/tr&gt;_x000D_
    &lt;tr&gt;       &lt;td&gt;PC Convertible/Trunk_x000D_
_x000D_
      &lt;/td&gt;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&lt;td&gt;&lt;span contenteditable="false" class="vcard"&gt;&lt;a href="https://connext.conti.de/profiles/html/profileView.do?userid=A5FC0CF8B270917DC125776800501FD2 " class="fn url"&gt;@Eva Weilandt&lt;/a&gt;&lt;span class="x-lconn-userid" style="display: none;"&gt;A5FC0CF8B270917DC125776800501FD2 &lt;/span&gt;&lt;/span&gt;       &lt;/td&gt;_x000D_
      &lt;td&gt;MKD / IAS_x000D_
_x000D_
      &lt;/td&gt;       &lt;td&gt;&lt;a href="http://connext.conti.de/communities/service/html/communityoverview?communityUuid=eae0c282-8c03-4fbf-b92c-5456849106d7&amp;amp;lang=en "&gt;Community LTC Power Closure&lt;/a&gt;_x000D_
_x000D_
      &lt;/td&gt;     &lt;/tr&gt;_x000D_
    &lt;tr&gt;       &lt;td&gt;PC Sunroof/Window Lifter_x000D_
_x000D_
      &lt;/td&gt;       &lt;td&gt;&lt;span contenteditable="false" class="vcard"&gt;&lt;a href="https://connext.conti.de/profiles/html/profileView.do?userid=E30870CCD1723E38C12573A60032B9C5 " class="fn url"&gt;@Ruediger Wagner&lt;/a&gt;&lt;span class="x-lconn-userid" style="display: none;"&gt;E30870CCD1723E38C12573A60032B9C5 &lt;/span&gt;&lt;/span&gt;/ &lt;a class="vcard " href="https://connext.conti.de/profiles/html/profileView.do?userid=008875B12877E4D2C12573A60031DF02 " data-userid="008875B12877E4D2C12573A60031DF02 "&gt;@Martin Roth&lt;/a&gt;       &lt;/td&gt;_x000D_
      &lt;td&gt;&lt;a class="vcard " href="https://connext.conti.de/profiles/html/profileView.do?userid=DDAB12F7299EB585C125789500285E64 " data-userid="DDAB12F7299EB585C125789500285E64 "&gt;@Mihai Spataru&lt;/a&gt;       &lt;/td&gt;_x000D_
      &lt;td&gt;IAS_x000D_
_x000D_
      &lt;/td&gt;       &lt;td&gt;&lt;a href="http://connext.conti.de/communities/service/html/communityoverview?communityUuid=eae0c282-8c03-4fbf-b92c-5456849106d7&amp;amp;lang=en "&gt;Community LTC Power Closure&lt;/a&gt;_x000D_
_x000D_
      &lt;/td&gt;     &lt;/tr&gt;_x000D_
    &lt;tr&gt;       &lt;td&gt;ND GW / cGW_x000D_
_x000D_
      &lt;/td&gt;       &lt;td&gt;&lt;a class="vcard " href="https://connext.conti.de/profiles/html/profileView.do?userid=B4BB0C028B9543B7C12573A60031E5F6 " data-userid="B4BB0C028B9543B7C12573A60031E5F6 "&gt;@Thomas Schoedl&lt;/a&gt;       &lt;/td&gt;_x000D_
      &lt;td&gt;&lt;a class="vcard " href="https://connext.conti.de/profiles/html/profileView.do?userid=3A4B0355B3388136C12577B000288072 " data-userid="3A4B0355B3388136C12577B000288072 "&gt;@Silviu Rei&lt;/a&gt;       &lt;/td&gt;_x000D_
      &lt;td&gt;SIB_x000D_
_x000D_
      &lt;/td&gt;       &lt;td&gt;&lt;a href="http://connext.conti.de/communities/service/html/communitystart?communityUuid=595fad11-dc29-4630-a02e-c2c366e87cff "&gt;Community LTC Gateway&lt;/a&gt;_x000D_
_x000D_
      &lt;/td&gt;     &lt;/tr&gt;_x000D_
    &lt;tr&gt;       &lt;td&gt;ND IAM_x000D_
_x000D_
      &lt;/td&gt;       &lt;td&gt;tbd_x000D_
      &lt;/td&gt;       &lt;td&gt;tbd_x000D_
_x000D_
      &lt;/td&gt;       &lt;td&gt;tbd_x000D_
_x000D_
      &lt;/td&gt;       &lt;td&gt;_x000D_
_x000D_
        &lt;br /&gt;&lt;/td&gt;     &lt;/tr&gt;_x000D_
    &lt;tr&gt;       &lt;td&gt;TIS ECU_x000D_
_x000D_
      &lt;/td&gt;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&lt;td&gt;&lt;a class="vcard " href="https://connext.conti.de/profiles/html/profileView.do?userid=A9D9DDB367A5D93FC12573A6002E385A " data-userid="A9D9DDB367A5D93FC12573A6002E385A "&gt;@Cristian Cristea&lt;/a&gt;&lt;/td&gt;       &lt;td&gt;TSR&lt;/td&gt;       &lt;td&gt;&lt;br /&gt;&lt;/td&gt;     &lt;/tr&gt;_x000D_
    &lt;tr&gt;       &lt;td&gt;TIS WU_x000D_
      &lt;/td&gt;       &lt;td&gt;&lt;span contenteditable="false" class="vcard"&gt;&lt;a href="https://connext.conti.de/profiles/html/profileView.do?userid=E30870CCD1723E38C12573A60032B9C5 " class="fn url"&gt;@Ruediger Wagner&lt;/a&gt;&lt;span class="x-lconn-userid" style="display: none;"&gt;E30870CCD1723E38C12573A60032B9C5 &lt;/span&gt;&lt;/span&gt;       &lt;/td&gt;_x000D_
      &lt;td&gt;&lt;a class="vcard " href="https://connext.conti.de/profiles/html/profileView.do?userid=DB57B62827CB93CEC12573A6002D919A " data-userid="DB57B62827CB93CEC12573A6002D919A "&gt;@Benoit Bibie&lt;/a&gt;       &lt;/td&gt;_x000D_
      &lt;td&gt;TLS_x000D_
_x000D_
      &lt;/td&gt;       &lt;td&gt;&lt;span style="text-decoration: underline; "&gt;&lt;a wiki="W1d0f7e400e73_4328_9930_7e375562b15c" href="http://connext.conti.de/wikis/home?lang=en_US#/wiki/W1d0f7e400e73_4328_9930_7e375562b15c/page/Tire Information Systems " id="wikiLink1493224365984 " page="Tire Information Systems "&gt;Wiki LTC Tire Information Systems&lt;/a&gt;&lt;/span&gt;_x000D_
_x000D_
      &lt;/td&gt;     &lt;/tr&gt;_x000D_
  &lt;/tbody&gt; &lt;/table&gt;_x000D_
&lt;p dir="ltr "&gt;Mail Group available &lt;a wiki="W1d0f7e400e73_4328_9930_7e375562b15c" lconnwikiparamwikipage="CFT Lotus Notes Groups " lconnwikimacro="wikilink " href="/wikis/home#!/wiki/W1d0f7e400e73_4328_9930_7e375562b15c/page/CFT%20Lotus%20Notes%20Groups " id="wikiLink1510837108086" page="CFT Lotus Notes Groups "&gt;here&lt;/a&gt; &lt;a href="mailto:07_WW_MG_I_BS_RD_CFT_LTC_Heads"&gt;07_WW_MG_I_BS_RD_CFT_LTC_Heads&lt;/a&gt;.&lt;/p&gt; &lt;p dir="LTR "&gt;&lt;a href="mailto:Ruediger.Wagner@continental-corporation.com;Thomas.Simmerl@continental-corporation.com;Martin.Bomber@continental-corporation.com;Tao.Feng@continental-corporation.com;Florin.Tomescu@continental-corporation.com;Silvia.Iulia.Pana@continental-corporation.com;Peter.Braun@continental-corporation.com;Ciprian.Chedves@continental-corporation.com;Bianca.Mate@continental-corporation.com;Maximilian.Baier@continental-corporation.com;Eva.Weilandt@continental-corporation.com;Martin.Roth@continental-corporation.com;Mihai.Spataru@continental-corporation.com;Thomas.Schoedl@continental-corporation.com;Silviu.Rei@continental-corporation.com;Cristian.Cristea@continental-corporation.com;Benoit.Bibie@continental-corporation.com"&gt;mailto&lt;/a&gt;&lt;/p&gt; &lt;p dir="LTR "&gt;&lt;/p&gt;</t>
  </si>
  <si>
    <t>Notes Server</t>
  </si>
  <si>
    <t>Notes FileName</t>
  </si>
  <si>
    <t>BU</t>
  </si>
  <si>
    <t>OfficeNumber</t>
  </si>
  <si>
    <t>Filtered Tags</t>
  </si>
  <si>
    <t>Row Labels</t>
  </si>
  <si>
    <t>Grand Total</t>
  </si>
  <si>
    <t>(blank)</t>
  </si>
  <si>
    <t>Count of Filtered Tags</t>
  </si>
  <si>
    <t>Column Labels</t>
  </si>
  <si>
    <t>&lt;td style='text-align: center;'&gt;&lt;a href='https://connext.conti.de/wikis/home/wiki/W354104eee9d6_4a63_9c48_32eb87112262/page/CoachNet Specialist'&gt;&lt;img width='$picSize' src='https://connext.conti.de/files/form/anonymous/api/library/df3541d3-1ef2-4799-9212-d269c9d79d35/document/672f484e-7bce-4074-8f2a-c64463ae75e6/media/Wanted_CoachNetter_Example.jpg'/&gt;&lt;/a&gt;&lt;/td&gt;</t>
  </si>
  <si>
    <t>https://connext.conti.de/communities/service/html/communityview?communityUuid=1f40ae3f-215e-48b2-86f5-7b43b7229d2c#fullpageWidgetId=W2a25ef83ef5c_4f39_b65b_578387091606&amp;eventInstUuid=59b16cdd-084d-4334-98cc-fdc806dc7b4c</t>
  </si>
  <si>
    <t>stefanie.preisinger@conti.de</t>
  </si>
  <si>
    <t>D094F2537C49B7F5C12581BE003D51CD</t>
  </si>
  <si>
    <t>https://connext.conti.de/blogs/ea176a1c-7f2c-4836-ad50-c97443d30138/entry/Coursera_for_Continental_Learning_We_are_live</t>
  </si>
  <si>
    <t>Feed Url</t>
  </si>
  <si>
    <t>https://connext.conti.de/blogs/tdalon/feed/entries/atom?tags=powertool</t>
  </si>
  <si>
    <t>Extract Likers from a ConNext Blog post</t>
  </si>
  <si>
    <t>2019-07-05T10:06:04+02:00</t>
  </si>
  <si>
    <t>&lt;h1 dir="ltr"&gt;Excel VBA�Implementation / PowerTool&lt;br /&gt;&lt;/h1&gt;
&lt;h2 dir="ltr"&gt;Usage&lt;/h2&gt;
&lt;p dir="ltr"&gt;Open the &lt;a href="https://connext.conti.de/blogs/tdalon/entry/guide_powertool"&gt;PowerTool&lt;/a&gt;&lt;/p&gt;
&lt;p dir="ltr"&gt;Go to the Tab named &amp;#34;Likers&amp;#34;&lt;/p&gt;
&lt;p dir="ltr"&gt;Click on the run button.&lt;/p&gt;
&lt;p dir="ltr"&gt;The process is fully automated ��no need to look for the blog EntryId.&lt;/p&gt;
&lt;p dir="ltr"&gt;The list of likers�will be exported in the Table in this Sheet.&lt;/p&gt;
&lt;p dir="ltr"&gt;&lt;img src="https://connext.conti.de/blogs/tdalon/resource/BLOGS_UPLOADED_IMAGES/editor_image_7c3486fa-a337-4244-8019-363e2cd50e9f.png" id="img_98867820411562270856186" /&gt;&lt;br /&gt;&lt;/p&gt;
&lt;h2 dir="ltr"&gt;Implementation Challenges&lt;/h2&gt;
&lt;p dir="ltr"&gt;It is quasi impossible to access the Html source code of a blog via Http GET Request. The trick to access the blog information is to go via the comment feed (which is accessible via Http Get.) [This trick is also used in my AHK script to get the Blog title.]&lt;/p&gt;
&lt;h2 dir="ltr"&gt;Code&lt;/h2&gt;
&lt;p dir="ltr"&gt;Main code is available in the ConNext_Likers�Module. You can view it here�&lt;a href="http://github.conti.de/uid41890/tools/blob/master/powertool/ConNext_Likers.bas"&gt;&lt;img src="https://connext.conti.de/files/form/anonymous/api/library/ffd279a0-2764-46bb-a8ec-b1aa3c713072/document/fe94214a-94b2-4120-8946-aa11d0824339/media/GitHub-Mark_32.png" width="32" /&gt;&lt;/a&gt;&lt;a href="http://github.conti.de/uid41890/tools/blob/master/powertool/ConNext_Likers.bas"&gt;ConNext_Likers.bas&lt;/a&gt;&lt;/p&gt;
&lt;h1 dir="ltr"&gt;API�Hacking�&lt;/h1&gt;
&lt;p dir="ltr"&gt;In this section I describe the manual way, API�trial and error I have gone through to come-out to the final solution.&lt;/p&gt;
&lt;p dir="ltr"&gt;Retrieving likes: &lt;a href="https://www-10.lotus.com/ldd/lcwiki.nsf/xpAPIViewer.xsp?lookupName&amp;#61;IBM&amp;#43;Connections&amp;#43;6.0&amp;#43;API&amp;#43;Documentation#action&amp;#61;openDocument&amp;amp;res_title&amp;#61;Getting_a_list_of_recommenders_ic60&amp;amp;content&amp;#61;apicontent"&gt;https://www-10.lotus.com/ldd/lcwiki.nsf/xpAPIViewer.xsp?lookupName&amp;#61;IBM&amp;#43;Connections&amp;#43;6.0&amp;#43;API&amp;#43;Documentation#action&amp;#61;openDocument&amp;amp;res_title&amp;#61;Getting_a_list_of_recommenders_ic60&amp;amp;content&amp;#61;apicontent&lt;/a&gt;&lt;/p&gt;
&lt;p dir="ltr"&gt;API�Command to run:�&lt;a href="https://connext.conti.de/blogs/"&gt;https://connext.conti.de/blogs/&lt;/a&gt;&amp;lt;blogId&amp;gt;/api/recommend/entries/&amp;lt;entryId&amp;gt;&lt;/p&gt;
&lt;p dir="ltr"&gt;Not so obvious is how to get the entryId�(it isn&amp;#39;t the name in the url)&lt;/p&gt;
&lt;h2 dir="ltr"&gt;How to get BlogId&lt;/h2&gt;
&lt;p dir="ltr"&gt;The BlogId�is visible in the blog post�url; it starts with�&lt;a href="https://connext.conti.de/blogs/ea176a1c-7f2c-4836-ad50-c97443d30138/"&gt;https://connext.conti.de/blogs/{BlogId}/&lt;/a&gt;&lt;/p&gt;
&lt;h2 dir="ltr"&gt;How to get Blog entryId&lt;/h2&gt;
&lt;p dir="ltr"&gt;View the page source of Blog post. &lt;/p&gt;
&lt;p dir="ltr"&gt;In Chrome use Ctrl&amp;#43;U&lt;/p&gt;
&lt;p dir="ltr"&gt;&lt;img src="https://connext.conti.de/blogs/tdalon/resource/BLOGS_UPLOADED_IMAGES/editor_image_dff52b13-cfde-4bba-83c3-894708e89ee9.png" id="img_80168800011562233023660" /&gt;&lt;br /&gt;&lt;/p&gt;
&lt;p dir="ltr"&gt;The entryId�is in the string here:&lt;/p&gt;
&lt;p dir="ltr"&gt;&amp;lt;input type&amp;#61;&amp;#34;hidden&amp;#34; name&amp;#61;&amp;#34;entryId&amp;#34; value&amp;#61;&amp;#34;db90a034-3ace-45c8-8bae-994699f9c439&amp;#34;/&amp;gt;&lt;/p&gt;
&lt;h2 dir="ltr"&gt;How to get the list of users&lt;/h2&gt;
&lt;p dir="ltr"&gt;Once you have the BlogId�and entryId�do a GET of�&lt;a href="https://connext.conti.de/blogs/"&gt;https://connext.conti.de/blogs/&lt;/a&gt;{blogId}/api/recommend/entries/{entryId}&lt;/p&gt;
&lt;p dir="ltr"&gt;The response looks like this:&lt;/p&gt;
&lt;p dir="ltr"&gt;&lt;a href="https://connext.conti.de/blogs/tdalon/resource/BLOGS_UPLOADED_IMAGES/editor_image_6ebfccbf-6a4c-4a7d-8c30-72d165e882c7.png"&gt;&lt;img width="95%" style="margin:0px auto;display:block" src="https://connext.conti.de/blogs/tdalon/resource/BLOGS_UPLOADED_IMAGES/editor_image_6ebfccbf-6a4c-4a7d-8c30-72d165e882c7.png" /&gt;&lt;/a&gt;&lt;br /&gt;&lt;/p&gt;
&lt;p dir="ltr"&gt;You shall loop to extract the contributor nodes. It contains user name, e-mail�and userid.&lt;/p&gt;
&lt;h1 dir="ltr"&gt;&lt;br /&gt;&lt;/h1&gt;</t>
  </si>
  <si>
    <t>Webinar GUIDE Power Tools</t>
  </si>
  <si>
    <t>2019-05-22T11:40:37+02:00</t>
  </si>
  <si>
    <t>&lt;p dir="ltr"&gt;Webinar notes from &lt;a href="https://connext.conti.de/communities/service/html/communityview?communityUuid&amp;#61;1f40ae3f-215e-48b2-86f5-7b43b7229d2c#fullpageWidgetId&amp;#61;W2a25ef83ef5c_4f39_b65b_578387091606&amp;amp;eventInstUuid&amp;#61;59b16cdd-084d-4334-98cc-fdc806dc7b4c"&gt;ConNext�Event&lt;/a&gt;�2019-05-20 9:30-11:30&lt;/p&gt;
&lt;p dir="ltr"&gt;Event will be recorded&lt;/p&gt;
&lt;h1 dir="ltr"&gt;Purpose/ Introduction&lt;/h1&gt;
&lt;ul dir="ltr"&gt;&lt;li dir="ltr"&gt;Convince you to use GUIDEs�Power Tools that are one some AutoHotkey�scripts and two an Excel file with macros.&lt;/li&gt;&lt;li dir="ltr"&gt;Guide you to have these tools up-and-running so you can explore them further&lt;/li&gt;&lt;li dir="ltr"&gt;Give you a short overview of the tools, including some feature hightlights&lt;/li&gt;&lt;/ul&gt;
&lt;h2 dir="ltr"&gt;Recording&lt;/h2&gt;
&lt;p dir="ltr" style="text-align:center"&gt;&lt;iframe width="640" height="360" src="https://web.microsoftstream.com/embed/video/f9e58fe6-e6dc-4a69-85b5-00dae7979f6b?autoplay&amp;#61;false&amp;amp;showinfo&amp;#61;true" style="border-style:none" allowfullscreen="" sandbox="allow-popups allow-same-origin allow-scripts allow-forms"&gt;&lt;/iframe&gt;&lt;br /&gt;&lt;a href="https://web.microsoftstream.com/video/f9e58fe6-e6dc-4a69-85b5-00dae7979f6b"&gt;Direct Link to Stream video&lt;/a&gt;&lt;br /&gt;&lt;/p&gt;
&lt;h1 dir="ltr"&gt;Part 1 ��AutoHotkey&lt;/h1&gt;
&lt;p dir="ltr"&gt;&lt;span style="color:rgb( 41 , 41 , 41 );font-size:10.5pt;font-family:&amp;#39;segoe ui&amp;#39; , sans-serif"&gt;&lt;a href="http://github.conti.de/ContiSource/ahk/blob/master/README.md" target="_blank" title="http://github.conti.de/contisource/ahk/blob/master/readme.md" rel="noopener noreferrer noopener noreferrer noopener noreferrer noopener noreferrer noopener noreferrer noopener noreferrer noopener noreferrer noopener noreferrer noopener noreferrer noopener noreferrer noopener noreferrer noopener noreferrer noopener noreferrer noopener noreferrer" style="color:rgb( 5 , 99 , 193 );outline-color:rgb( 227 , 135 , 2 )"&gt;http://github�.conti�.de/ContiSource�/ahk�/blob/master/README�.md&lt;/a&gt;&lt;/span&gt;&lt;/p&gt;
&lt;h2 dir="ltr"&gt;Recording&lt;/h2&gt;
&lt;p dir="ltr" style="text-align:center"&gt;&lt;span style="color:rgb( 41 , 41 , 41 );font-size:10.5pt;font-family:&amp;#39;segoe ui&amp;#39; , sans-serif"&gt;&lt;a href="http://github.conti.de/ContiSource/ahk/blob/master/README.md" target="_blank" title="http://github.conti.de/contisource/ahk/blob/master/readme.md" rel="noopener noreferrer noopener noreferrer noopener noreferrer noopener noreferrer noopener noreferrer noopener noreferrer noopener noreferrer noopener noreferrer noopener noreferrer noopener noreferrer noopener noreferrer noopener noreferrer noopener noreferrer noopener noreferrer" style="color:rgb( 5 , 99 , 193 );outline-color:rgb( 227 , 135 , 2 )"&gt;&lt;iframe width="640" height="360" src="https://web.microsoftstream.com/embed/video/04c2834e-dbe6-4740-a993-1c0886799340?autoplay&amp;#61;false&amp;amp;showinfo&amp;#61;true" style="border-style:none" allowfullscreen="" sandbox="allow-popups allow-same-origin allow-scripts allow-forms"&gt;&lt;/iframe&gt;&lt;br /&gt;&lt;/a&gt;&lt;a href="https://web.microsoftstream.com/video/04c2834e-dbe6-4740-a993-1c0886799340"&gt;Direct Link to Stream video&lt;/a&gt;�(40min)&lt;br /&gt;&lt;/span&gt;&lt;br /&gt;&lt;/p&gt;
&lt;h2 dir="ltr"&gt;Setup&lt;/h2&gt;
&lt;p dir="ltr"&gt;&lt;span style="color:rgb( 41 , 41 , 41 );font-size:10.5pt;font-family:&amp;#39;segoe ui&amp;#39; , sans-serif"&gt;&lt;a href="http://github.conti.de/ContiSource/ahk/blob/master/README.md" target="_blank" title="http://github.conti.de/contisource/ahk/blob/master/readme.md" rel="noopener noreferrer noopener noreferrer noopener noreferrer noopener noreferrer noopener noreferrer noopener noreferrer noopener noreferrer noopener noreferrer noopener noreferrer noopener noreferrer noopener noreferrer noopener noreferrer noopener noreferrer noopener noreferrer" style="color:rgb( 5 , 99 , 193 );outline-color:rgb( 227 , 135 , 2 )"&gt;&lt;/a&gt;&lt;a href="https://connext.conti.de/blogs/tdalon/entry/How_to_setup_my_autohotkey_scripts"&gt;https://connext.conti.de/blogs/tdalon/entry/How_to_setup_my_autohotkey_scripts&lt;/a&gt;
&lt;/span&gt;&lt;br /&gt;&lt;/p&gt;
&lt;h2 dir="ltr"&gt;Feature Highlights&lt;/h2&gt;
&lt;h3 dir="ltr"&gt;Intelli�Paste&lt;/h3&gt;
&lt;p dir="ltr"&gt;&lt;a href="https://connext.conti.de/blogs/tdalon/entry/intelli_paste"&gt;https://connext.conti.de/blogs/tdalon/entry/intelli_paste&lt;/a&gt;&lt;/p&gt;
&lt;p dir="ltr"&gt;&lt;a href="https://connext.conti.de/forums/html/threadTopic?id&amp;#61;7fd70dc6-a66b-42c1-bf81-bbdd5a2c0d9c&amp;amp;ps&amp;#61;500"&gt;&lt;img src="https://connext.conti.de/files/form/anonymous/api/library/ffd279a0-2764-46bb-a8ec-b1aa3c713072/document/40c7179e-68ca-4bb9-a27d-92d5216b8b0c/media/forums_32.jpg" width="32" /&gt;&lt;/a&gt;&lt;a href="https://connext.conti.de/forums/html/threadTopic?id&amp;#61;7fd70dc6-a66b-42c1-bf81-bbdd5a2c0d9c&amp;amp;ps&amp;#61;500"&gt;Entry and Exit time stamp in detailed meeting report - Skype Forum - New Work Style - Social Support&lt;/a&gt;&lt;/p&gt;
&lt;h3 dir="ltr"&gt;ConNext�Enhancer&lt;/h3&gt;
&lt;p dir="ltr"&gt;&lt;a href="https://connext.conti.de/blogs/tdalon/entry/connext_enhancer"&gt;&lt;img src="https://connext.conti.de/files/form/anonymous/api/library/ffd279a0-2764-46bb-a8ec-b1aa3c713072/document/86294b7e-e53c-40eb-86f2-15fd1fb15d15/media/blogs_32.jpg" width="32" /&gt;&lt;/a&gt;&lt;a href="https://connext.conti.de/blogs/tdalon/entry/connext_enhancer"&gt;Connext Enhancer&lt;/a&gt;&lt;/p&gt;
&lt;p dir="ltr"&gt;Win&amp;#43;C�in ConNext�Editor&lt;/p&gt;
&lt;h3 dir="ltr"&gt;ConNext�Search&lt;span style="font-weight:normal;color:rgb( 41 , 41 , 41 );font-family:&amp;#39;segoe ui&amp;#39; , sans-serif;font-size:10.5pt"&gt;&lt;/span&gt;&lt;/h3&gt;
&lt;p dir="ltr"&gt;&lt;span style="color:rgb( 41 , 41 , 41 );font-family:&amp;#39;segoe ui&amp;#39; , sans-serif;font-size:10.5pt"&gt;&lt;a href="https://connext.conti.de/blogs/tdalon/entry/connext_search_ahk"&gt;https://connext.conti.de/blogs/tdalon/entry/connext_search_ahk&lt;/a&gt;&lt;/span&gt;&lt;/p&gt;
&lt;p dir="ltr"&gt;&lt;span style="color:rgb( 41 , 41 , 41 );font-family:&amp;#39;segoe ui&amp;#39; , sans-serif;font-size:10.5pt"&gt;Win&amp;#43;F: Find&lt;/span&gt;&lt;/p&gt;
&lt;h3 dir="ltr"&gt;Teams Hotkeys&lt;/h3&gt;
&lt;p dir="ltr"&gt;&lt;span style="color:rgb( 41 , 41 , 41 );font-family:&amp;#39;segoe ui&amp;#39; , sans-serif;font-size:10.5pt"&gt;&lt;a href="https://connext.conti.de/blogs/tdalon/entry/Teams_Keyboard_Shortcuts"&gt;https://connext.conti.de/blogs/tdalon/entry/Teams_Keyboard_Shortcuts&lt;/a&gt;
&lt;/span&gt;&lt;/p&gt;
&lt;p dir="ltr"&gt;&lt;span style="color:rgb( 41 , 41 , 41 );font-family:&amp;#39;segoe ui&amp;#39; , sans-serif;font-size:10.5pt"&gt;
&lt;/span&gt;&lt;br /&gt;&lt;/p&gt;
&lt;h1 dir="ltr"&gt;Part 2 � GUIDE PowerTool�Excel VBA&lt;/h1&gt;
&lt;h2 dir="ltr"&gt;Recording&lt;/h2&gt;
&lt;p style="text-align:center" dir="ltr"&gt;&lt;iframe width="640" height="360" src="https://web.microsoftstream.com/embed/video/30ec7a05-cc1d-475a-bb63-0f21bccfd619?autoplay&amp;#61;false&amp;amp;showinfo&amp;#61;true" style="border-style:none" allowfullscreen="" sandbox="allow-popups allow-same-origin allow-scripts allow-forms"&gt;&lt;/iframe&gt;&lt;br /&gt;&lt;a href="https://web.microsoftstream.com/video/30ec7a05-cc1d-475a-bb63-0f21bccfd619"&gt;Direct Link to Stream video&lt;/a&gt;�(23min)&lt;br /&gt;&lt;/p&gt;
&lt;h2 dir="ltr"&gt;Links&lt;/h2&gt;
&lt;p dir="ltr"&gt;&lt;span style="font-family:&amp;#39;segoe ui&amp;#39; , sans-serif;font-size:10.5pt;color:rgb( 41 , 41 , 41 )"&gt;Excel &lt;/span&gt;VBA&lt;span style="font-family:&amp;#39;segoe ui&amp;#39; , sans-serif;font-size:10.5pt;color:rgb( 41 , 41 , 41 )"&gt; Guide &lt;/span&gt;PowerTool&lt;span style="font-family:&amp;#39;segoe ui&amp;#39; , sans-serif;font-size:10.5pt;color:rgb( 41 , 41 , 41 )"&gt;�&lt;/span&gt;&lt;a href="https://connext.conti.de/blogs/tdalon/entry/guide_powertool" target="_blank" title="https://connext.conti.de/blogs/tdalon/entry/guide_powertool" rel="noopener noreferrer noopener noreferrer noopener noreferrer noopener noreferrer noopener noreferrer noopener noreferrer noopener noreferrer noopener noreferrer noopener noreferrer noopener noreferrer noopener noreferrer noopener noreferrer noopener noreferrer noopener noreferrer" style="font-family:&amp;#39;segoe ui&amp;#39; , sans-serif;font-size:10.5pt;color:rgb( 5 , 99 , 193 )"&gt;https://connext.conti.de/blogs/tdalon/entry/guide_powertool&lt;/a&gt;&lt;br /&gt;&lt;/p&gt;
&lt;h3 dir="ltr"&gt;Export Profiles&lt;/h3&gt;
&lt;p dir="ltr" style="margin:0cm 0cm 0.0001pt;color:rgb( 41 , 41 , 41 );background-color:rgb( 255 , 255 , 255 );font-size:11pt;font-family:&amp;#39;calibri&amp;#39; , sans-serif"&gt;&lt;span style="font-size:10.5pt;font-family:&amp;#39;segoe ui&amp;#39; , sans-serif"&gt;&lt;a href="https://connext.conti.de/blogs/tdalon/entry/guide_powertool" target="_blank" title="https://connext.conti.de/blogs/tdalon/entry/guide_powertool" rel="noopener noreferrer noopener noreferrer noopener noreferrer noopener noreferrer noopener noreferrer noopener noreferrer noopener noreferrer noopener noreferrer noopener noreferrer noopener noreferrer noopener noreferrer noopener noreferrer noopener noreferrer noopener noreferrer" style="color:rgb( 5 , 99 , 193 )"&gt;&lt;/a&gt;&lt;a href="https://connext.conti.de/blogs/tdalon/entry/ConNext_Profiles_Statistics_by_Tags"&gt;https://connext.conti.de/blogs/tdalon/entry/ConNext_Profiles_Statistics_by_Tags&lt;/a&gt;
&lt;/span&gt;&lt;br /&gt;&lt;/p&gt;
&lt;p dir="ltr" style="margin:0cm 0cm 0.0001pt;color:rgb( 41 , 41 , 41 );background-color:rgb( 255 , 255 , 255 );font-size:11pt;font-family:&amp;#39;calibri&amp;#39; , sans-serif"&gt;&lt;span style="font-size:10.5pt;font-family:&amp;#39;segoe ui&amp;#39; , sans-serif"&gt;&lt;br /&gt;&lt;/span&gt;&lt;/p&gt;
&lt;h3 dir="ltr" style="margin:0cm 0cm 0.0001pt;color:rgb( 41 , 41 , 41 );background-color:rgb( 255 , 255 , 255 );font-size:11pt;font-family:&amp;#39;calibri&amp;#39; , sans-serif"&gt;Export Forums&lt;/h3&gt;
&lt;p dir="ltr" style="margin:0cm 0cm 0.0001pt;color:rgb( 41 , 41 , 41 );background-color:rgb( 255 , 255 , 255 );font-size:11pt;font-family:&amp;#39;calibri&amp;#39; , sans-serif"&gt;&lt;a href="https://connext.conti.de/blogs/tdalon/entry/connext_export_forum_to_excel"&gt;https://connext.conti.de/blogs/tdalon/entry/connext_export_forum_to_excel&lt;/a&gt;&lt;/p&gt;
&lt;p dir="ltr" style="margin:0cm 0cm 0.0001pt;color:rgb( 41 , 41 , 41 );background-color:rgb( 255 , 255 , 255 );font-size:11pt;font-family:&amp;#39;calibri&amp;#39; , sans-serif"&gt;Extract Emails from Mentions&lt;a href="https://connext.conti.de/blogs/tdalon/entry/connext_export_forum_to_excel"&gt;&lt;br /&gt;&lt;/a&gt;&lt;/p&gt;
&lt;p dir="ltr" style="margin:0cm 0cm 0.0001pt;color:rgb( 41 , 41 , 41 );background-color:rgb( 255 , 255 , 255 );font-size:11pt;font-family:&amp;#39;calibri&amp;#39; , sans-serif"&gt;&lt;span style="font-size:10.5pt;font-family:&amp;#39;segoe ui&amp;#39; , sans-serif"&gt;&lt;/span&gt;&lt;br /&gt;&lt;/p&gt;
&lt;p dir="ltr"&gt;&lt;br /&gt;&lt;/p&gt;</t>
  </si>
  <si>
    <t>ConNext Profiles Statistics by Tags</t>
  </si>
  <si>
    <t>2019-04-26T22:56:33+02:00</t>
  </si>
  <si>
    <t>&lt;p dir="ltr"&gt;I have extended this�&lt;a href="https://connext.conti.de/blogs/tdalon/entry/guide_powertool"&gt;ConNext Lotus Notes Excel Tool&lt;/a&gt;�to be able to make some nice profile statistics clustering information based on profile tags.&lt;/p&gt;
&lt;p dir="ltr"&gt;I illustrate here the idea based on Knowledge Brokers.&lt;/p&gt;
&lt;p dir="ltr"&gt;Statistics are available in this &lt;a href="https://connext.conti.de/activities/service/html/mainpage#activitypage,58d961aa-206a-4958-b2c2-eed977d1f674"&gt;activity&lt;/a&gt;. Click on a date to display the charts.&lt;/p&gt;
&lt;p dir="ltr"&gt;This uses :&lt;/p&gt;
&lt;ul dir="ltr"&gt;&lt;li dir="ltr"&gt;ConNext�api�to export the profiles with�vba&lt;/li&gt;&lt;li dir="ltr"&gt;ConNext�api�to export the tags of the profiles with vba&lt;/li&gt;&lt;li dir="ltr"&gt;some RegExp�to extract the interesting tags (vba)&lt;/li&gt;&lt;li dir="ltr"&gt;&lt;a href="http://sfmagazine.com/post-entry/november-2017-excel-split-delimited-data-into-new-rows/"&gt;Get&amp;amp;Transform to split tags by row&lt;/a&gt;&lt;/li&gt;&lt;li dir="ltr"&gt;PowerCharts to display the results&lt;/li&gt;&lt;/ul&gt;
&lt;h1 dir="ltr"&gt;Screencast&lt;/h1&gt;
&lt;p style="text-align:center" dir="ltr"&gt;&lt;iframe width="640" height="360" src="https://web.microsoftstream.com/embed/video/b778ec85-9e0d-4c9d-85ed-4832f981cb0f?autoplay&amp;#61;false&amp;amp;showinfo&amp;#61;true" style="border-style:none" allowfullscreen="" sandbox="allow-popups allow-same-origin allow-scripts allow-forms"&gt;&lt;/iframe&gt;&lt;br /&gt;&lt;a href="https://web.microsoftstream.com/video/b778ec85-9e0d-4c9d-85ed-4832f981cb0f"&gt;Direct Link to Stream video&lt;/a&gt;&lt;/p&gt;
&lt;p dir="ltr"&gt;&lt;br /&gt;&lt;/p&gt;
&lt;h1 dir="ltr"&gt;See also&lt;/h1&gt;
&lt;p dir="ltr"&gt;&lt;a href="https://connext.conti.de/blogs/tdalon/entry/ConNext_Lotus_Notes_Excel_Tool"&gt;&lt;img src="http://connext.conti.de/files/form/anonymous/api/library/ffd279a0-2764-46bb-a8ec-b1aa3c713072/document/86294b7e-e53c-40eb-86f2-15fd1fb15d15/media/blogs_32.jpg" width="32" /&gt;&lt;/a&gt; &lt;a href="https://connext.conti.de/blogs/tdalon/entry/ConNext_Lotus_Notes_Excel_Tool"&gt;ConNext Lotus Notes Excel Tool&lt;/a&gt;&lt;/p&gt;
&lt;p dir="ltr"&gt;&lt;a href="http://sfmagazine.com/post-entry/november-2017-excel-split-delimited-data-into-new-rows/"&gt;http://sfmagazine.com/post-entry/november-2017-excel-split-delimited-data-into-new-rows/&lt;/a&gt;�&lt;br /&gt;&lt;/p&gt;</t>
  </si>
  <si>
    <t>ConNext mentions: Generate from emails, use of group templates</t>
  </si>
  <si>
    <t>2019-04-26T22:44:37+02:00</t>
  </si>
  <si>
    <t>&lt;div style="border-width:0.1em 0.1em 0.1em 0.8em;border-style:solid;border-color:rgb( 255 , 165 , 0 );padding:0.2em 0.6em;width:auto" dir="ltr"&gt;&lt;img src="http://connext.conti.de/files/basic/anonymous/api/library/ffd279a0-2764-46bb-a8ec-b1aa3c713072/document/c6cf0424-67a7-4cdc-bc19-1f433ec3dd05/media/speed.png" /&gt; You can now access this Mentions menu from the &lt;a href="http://connext.conti.de/blogs/tdalon/entry/connext_enhancer"&gt;ConNext Enhancer&lt;/a&gt;.&lt;/div&gt;
&lt;p dir="ltr"&gt;In this screencast�I demonstrate 2 advanced features about using mentions in ConNext:&lt;br /&gt;&lt;/p&gt;
&lt;ul dir="ltr"&gt;&lt;li&gt;how to generate mentions from an excel user table ��from emails using &lt;a href="http://connext.conti.de/blogs/tdalon/entry/ConNext_Lotus_Notes_Excel_Tool"&gt;this tool&lt;/a&gt;&lt;/li&gt;&lt;li&gt;how to create template for mentioning group of users and paste them conveniently using an�AutoHotkey�script ��based on &lt;a href="http://connext.conti.de/blogs/tdalon/entry/Copy_to_Clipboard_in_HTML_format_by_command_line"&gt;fclip&lt;/a&gt;�and &lt;a href="https://autohotkey.com/docs/commands/Menu.htm"&gt;menus&lt;/a&gt;&lt;/li&gt;&lt;/ul&gt;
&lt;p style="text-align:center" dir="ltr"&gt;&lt;iframe width="640" height="360" src="https://web.microsoftstream.com/embed/video/7f8892c7-6355-4b07-949e-7af22ae372b9?autoplay&amp;#61;false&amp;amp;showinfo&amp;#61;true" style="border-style:none" allowfullscreen="" sandbox="allow-popups allow-same-origin allow-scripts allow-forms"&gt;&lt;/iframe&gt;&lt;br /&gt;&lt;a href="https://web.microsoftstream.com/video/7f8892c7-6355-4b07-949e-7af22ae372b9"&gt;Direct Link to Stream video&lt;/a&gt;&lt;/p&gt;
&lt;p dir="ltr"&gt;AutoHotkey�script used in the demo is available here.�&lt;a href="http://github.conti.de/ContiSource/ahk/blob/master/ConNextGroups.ahk"&gt;&lt;img src="https://connext.conti.de/files/form/anonymous/api/library/ffd279a0-2764-46bb-a8ec-b1aa3c713072/document/fe94214a-94b2-4120-8946-aa11d0824339/media/GitHub-Mark_32.png" width="32" style="float:none" /&gt;&lt;/a&gt; &lt;a href="http://github.conti.de/ContiSource/ahk/blob/master/ConNextGroups.ahk"&gt;http://github.conti.de/ContiSource/ahk/blob/master/ConNextGroups.ahk&lt;/a&gt;&lt;/p&gt;
&lt;p dir="ltr"&gt;(It isn&amp;#39;t added in the startup in the setup.)&lt;/p&gt;
&lt;hr dir="ltr" /&gt;
&lt;p dir="ltr"&gt;&lt;br /&gt;&lt;/p&gt;
&lt;p dir="ltr"&gt;Unfortunately the group feature of the &lt;a href="http://connext.conti.de/blogs/tdalon/entry/ibmconnections_chrome_extension"&gt;IBM Connections Chrome extension&lt;/a&gt; does not work anymore. This is a good workaround.&lt;/p&gt;</t>
  </si>
  <si>
    <t>ConNext Tool: generate table of users</t>
  </si>
  <si>
    <t>2019-05-08T07:58:15+02:00</t>
  </si>
  <si>
    <t>&lt;p dir="ltr"&gt;In this screencast, I demonstrate how you can generate table of users with profile pictures and�&amp;#64;mentions automagically from a list of emails using &lt;a href="https://connext.conti.de/blogs/tdalon/entry/guide_powertool"&gt;this Excel/VBA tool&lt;/a&gt;.&lt;/p&gt;
&lt;p style="text-align:center" dir="ltr"&gt;&lt;iframe width="640" height="360" src="https://web.microsoftstream.com/embed/video/15e624dc-740e-45cc-ae61-191e1eda163e?autoplay&amp;#61;false&amp;amp;showinfo&amp;#61;true" style="border-style:none" allowfullscreen="" sandbox="allow-popups allow-same-origin allow-scripts allow-forms"&gt;&lt;/iframe&gt;&lt;br /&gt;&lt;a href="https://web.microsoftstream.com/video/15e624dc-740e-45cc-ae61-191e1eda163e"&gt;Direct Link to Stream video&lt;/a&gt;&lt;/p&gt;&lt;br /&gt;
&lt;p dir="ltr"&gt;Feature is available selecting the Tab &amp;#34;Tools&amp;#34;-&amp;gt; Gen Table as shown below:&lt;/p&gt;
&lt;p dir="ltr"&gt;&lt;img src="https://connext.conti.de/blogs/tdalon/resource/BLOGS_UPLOADED_IMAGES/editor_image_8a3d8dc9-2aa9-4a22-8617-b26db6f54814.png" id="img_69399230711557295028666" /&gt;&lt;/p&gt;
&lt;p dir="ltr"&gt;Settings can be set in the GenTableConfig�Sheet.&lt;/p&gt;</t>
  </si>
  <si>
    <t>ConNext Tool: Export emails from mentions</t>
  </si>
  <si>
    <t>2019-04-26T20:52:37+02:00</t>
  </si>
  <si>
    <t>&lt;p dir="ltr"&gt;In the screencast�below I demonstrate how you can extract the emails from the mentions in a ConNext�page (e.g. blog post or wiki page) using &lt;a href="https://connext.conti.de/blogs/tdalon/entry/guide_powertool"&gt;the GUIDE Powertool&lt;/a&gt;. &lt;/p&gt;
&lt;p dir="ltr"&gt;This extract the email list�to an excel file.&lt;/p&gt;
&lt;p style="text-align:center" dir="ltr"&gt;&lt;iframe width="640" height="360" src="https://web.microsoftstream.com/embed/video/8f66b958-1571-4b88-880f-ab8ae95a1ae2?autoplay&amp;#61;false&amp;amp;showinfo&amp;#61;true" style="border-style:none" allowfullscreen="" sandbox="allow-popups allow-same-origin allow-scripts allow-forms"&gt;&lt;/iframe&gt;&lt;br /&gt;&lt;a href="https://web.microsoftstream.com/video/8f66b958-1571-4b88-880f-ab8ae95a1ae2"&gt;Direct Link to Stream video&lt;/a&gt;&lt;br /&gt;&lt;/p&gt;
&lt;p dir="ltr"&gt;&lt;br /&gt;&lt;/p&gt;
&lt;p dir="ltr"&gt;From this extract, you can email to the list of users, organize a meeting or use this list for further actions like generating a table of users.&lt;/p&gt;</t>
  </si>
  <si>
    <t>ConNext: Export Forum to Excel</t>
  </si>
  <si>
    <t>2019-04-26T20:46:00+02:00</t>
  </si>
  <si>
    <t>&lt;p dir="ltr"&gt;I demonstrate in this screencast�(10:35) a way to export forum topics to Excel.&lt;/p&gt;
&lt;p style="text-align:center" dir="ltr"&gt; &lt;iframe width="640" height="360" src="https://web.microsoftstream.com/embed/video/767239b8-dbf3-436f-917b-3a7add0c0410?autoplay&amp;#61;false&amp;amp;showinfo&amp;#61;true" style="border-style:none" allowfullscreen="" sandbox="allow-popups allow-same-origin allow-scripts allow-forms"&gt;&lt;/iframe&gt;&lt;br /&gt;&lt;a href="https://web.microsoftstream.com/video/767239b8-dbf3-436f-917b-3a7add0c0410"&gt;Direct Link to Stream video&lt;/a&gt;&lt;/p&gt;
&lt;p dir="ltr"&gt;This uses:&lt;/p&gt;
&lt;ul dir="ltr"&gt;&lt;li&gt;Get&amp;amp;Transform Data in Excel 2016 to import the XML�Response feed&lt;/li&gt;&lt;li&gt;ConNext�REST API�to get the Forum Topics in a feed&lt;/li&gt;&lt;li&gt;Loop on multiple pages and easy merge the XML�Responses into one file&lt;/li&gt;&lt;/ul&gt;
&lt;p dir="ltr"&gt;Solution is implemented in my�&lt;a href="https://connext.conti.de/blogs/tdalon/entry/guide_powertool"&gt;&lt;img src="https://connext.conti.de/files/form/anonymous/api/library/ffd279a0-2764-46bb-a8ec-b1aa3c713072/document/86294b7e-e53c-40eb-86f2-15fd1fb15d15/media/blogs_32.jpg" width="32" /&gt;&lt;/a&gt;&lt;a href="https://connext.conti.de/blogs/tdalon/entry/guide_powertool"&gt;GUIDE�powertool&lt;/a&gt;&lt;/p&gt;
&lt;p dir="ltr"&gt;&lt;br /&gt;&lt;/p&gt;</t>
  </si>
  <si>
    <t>GUIDE Power Tool</t>
  </si>
  <si>
    <t>2019-07-05T09:59:49+02:00</t>
  </si>
  <si>
    <t>&lt;div class="lotusMessage lotusWarning" dir="ltr"&gt;&lt;img class="lotusIcon lotusIconMsgInfo" src="http://connext.conti.de/connections/resources/web/com.ibm.lconn.core.styles.oneui3/images/blank.gif" /&gt;
  &lt;div class="lotusMessageBody"&gt; I have renamed the tool/ file to GUIDE_PowerTool.xlsm�(#powertool) to mark the cut from Lotus Notes to Outlook/ o365.&lt;br /&gt;Update for Outlook is on-going.&lt;/div&gt;
&lt;/div&gt;
&lt;p dir="ltr"&gt;&lt;br /&gt;&lt;/p&gt;
&lt;h1 dir="ltr"&gt;Download&lt;/h1&gt;
&lt;p dir="ltr"&gt;�&lt;a href="http://github.conti.de/uid41890/tools/blob/master/powertool/GUIDE_PowerTool.xlsm"&gt;&lt;img src="https://connext.conti.de/files/form/anonymous/api/library/ffd279a0-2764-46bb-a8ec-b1aa3c713072/document/361e94ae-1757-4cf0-a738-6e9c79a15382/media/file_excel_32.png" width="32" /&gt;GUIDE_PowerTool.xlsm&lt;/a&gt;�(from &lt;a href="http://github.conti.de/uid41890/tools"&gt;&lt;img src="https://connext.conti.de/files/form/anonymous/api/library/ffd279a0-2764-46bb-a8ec-b1aa3c713072/document/fe94214a-94b2-4120-8946-aa11d0824339/media/GitHub-Mark_32.png" width="32" style="float:none" /&gt;&lt;/a&gt; &lt;a href="http://github.conti.de/uid41890/tools"&gt;http://github.conti.de/uid41890/tools&lt;/a&gt;)&lt;br /&gt;&lt;/p&gt;
&lt;p dir="ltr"&gt;You shall watch this file or this page to be informed about any update. (some are coming)&lt;br /&gt;&lt;/p&gt;
&lt;p dir="ltr"&gt;I will use this page to collect the documentation about this tool.&lt;/p&gt;
&lt;p dir="ltr"&gt;I have merged both files because it makes sense in many cases, specially for merging user information from Lotus Notes AND ConNext. (see also�&lt;span class="vcard"&gt;&lt;a class="fn url" href="https://connext.conti.de/profiles/html/profileView.do?userid=68E37A3BD6F18134482577D2002E1263"&gt;@Ansgar &lt;/a&gt;&lt;span class="x-lconn-userid" style="display: none"&gt;68E37A3BD6F18134482577D2002E1263&lt;/span&gt;&lt;/span&gt;&amp;#39;s�&lt;a href="http://connext.conti.de/blogs/tdalon/entry/connext_grey_ghosts"&gt;Grey Ghost Challenge&lt;/a&gt;)&lt;/p&gt;
&lt;h1 dir="ltr"&gt;Setup / Prerequisite&lt;/h1&gt;
&lt;h2 dir="ltr"&gt;Password for ConNext�API&lt;/h2&gt;
&lt;p dir="ltr"&gt;For using the ConNext�features,�you need to enter you password in a password.txt file located in your %userprofile% directory (only accessible from your login account).&lt;/p&gt;
&lt;ol dir="ltr"&gt;&lt;li dir="ltr"&gt;Enter %userprofile% in your file explorer to open your %userprofile% directory&lt;/li&gt;&lt;li dir="ltr"&gt;Create a new file or edit existing file with name &lt;strong&gt;password.txt&lt;/strong&gt;&lt;/li&gt;&lt;li dir="ltr"&gt;Edit this file; Enter in the text file your Windows password in the first line&lt;/li&gt;&lt;li dir="ltr"&gt;Don&amp;#39;t forget to update the password once you change it&lt;/li&gt;&lt;/ol&gt;
&lt;p dir="ltr"&gt;If it isn&amp;#39;t setup properly you will get following error:&lt;/p&gt;
&lt;p dir="ltr"&gt;&lt;img src="http://connext.conti.de/blogs/tdalon/resource/BLOGS_UPLOADED_IMAGES/editor_image_d110c9b4-3230-4622-8df2-0b4eb77d76c6.png" id="img_62855791131518686516563" style="margin:0px auto;display:block" /&gt;&lt;/p&gt;
&lt;h2 dir="ltr"&gt;fclip�to copy to the clipboard in Rich-Text&lt;/h2&gt;
&lt;p dir="ltr"&gt;For usage of copying to the clipboard (e.g. &amp;#64;mentions or table of users with mentions), &lt;a href="http://connext.conti.de/blogs/tdalon/entry/Copy_to_Clipboard_in_HTML_format_by_command_line"&gt;fclip&lt;/a&gt;�is required/ recommended.�&lt;/p&gt;
&lt;p dir="ltr"&gt;You shall add the flcip.exe�location to your system path environment variable. &lt;/p&gt;
&lt;p dir="ltr"&gt;Alternatively you can copy the flcip.exe�at the same location as this .xlsm�file without adding it to your system path.&lt;/p&gt;
&lt;p dir="ltr"&gt;If you don&amp;#39;t install fclip.exe�the copy to clipboard will occur through Internet Explorer and you will see an IE�window flashing.&lt;/p&gt;
&lt;h1 dir="ltr"&gt;Feature overview&lt;/h1&gt;
&lt;h2 dir="ltr"&gt;ConNext&lt;/h2&gt;
&lt;p dir="ltr"&gt;&lt;a href="http://connext.conti.de/blogs/tdalon/entry/connext_export_profile_search_email"&gt;ConNext Export Profile Search&lt;/a&gt;&lt;/p&gt;
&lt;p dir="ltr"&gt;&lt;a href="http://connext.conti.de/blogs/tdalon/entry/improved_excel_connext_profiles_export"&gt;ConNext�Profile Tags Extractor&lt;/a&gt;&lt;/p&gt;
&lt;p dir="ltr"&gt;&lt;a href="http://connext.conti.de/blogs/tdalon/entry/connext_grey_ghosts"&gt;Display profile picture in Cell comment&lt;/a&gt;&lt;/p&gt;
&lt;p dir="ltr"&gt;&lt;a href="http://connext.conti.de/blogs/tdalon/entry/Excel_Formula_to_add_link_to_ConNext_Profile"&gt;Formula�to link to profiles from e-mail&lt;/a&gt;&lt;/p&gt;
&lt;p dir="ltr"&gt;&lt;a href="http://connext.conti.de/blogs/tdalon/entry/connext_export_attendees"&gt;Export Event Attendees List&lt;/a&gt;&lt;/p&gt;
&lt;p dir="ltr"&gt;&lt;a href="http://connext.conti.de/blogs/tdalon/entry/connext_export_forum_to_excel"&gt;Export Forum Topics to Excel&lt;/a&gt;&lt;/p&gt;
&lt;p dir="ltr"&gt;Export users that commented in a blog post&lt;/p&gt;
&lt;p dir="ltr"&gt;&lt;a href="https://connext.conti.de/blogs/tdalon/entry/Extract_Likers_from_a_ConNext_Blog_post"&gt;Extract Likers from a ConNext Blog post&lt;/a&gt;&lt;/p&gt;
&lt;p dir="ltr"&gt;&lt;a href="http://connext.conti.de/blogs/tdalon/entry/ConNext_Tool_Export_emails_from_mentions"&gt;Export Emails from mentioned people&lt;/a&gt;&lt;/p&gt;
&lt;p dir="ltr"&gt;&lt;a href="http://connext.conti.de/blogs/tdalon/entry/connext_quick_mentions"&gt;Export ConNext Mentions from User table (Email column)&lt;/a&gt;&lt;/p&gt;
&lt;p dir="ltr"&gt;&lt;a href="http://connext.conti.de/blogs/tdalon/entry/ConNext_Tool_generate_table_of_users"&gt;Generate HTML Tables of users with�&amp;#64;mentions (from Email column)&lt;/a&gt;&lt;/p&gt;
&lt;p dir="ltr"&gt;&lt;a href="https://connext.conti.de/blogs/tdalon/entry/ConNext_Profiles_Statistics_by_Tags"&gt;ConNext Profiles Statistics by Tags&lt;/a&gt;&lt;/p&gt;
&lt;h2 dir="ltr"&gt;(obsolete) Lotus Notes&lt;/h2&gt;
&lt;p dir="ltr"&gt;&lt;a href="http://connext.conti.de/blogs/tdalon/entry/lotus_notes_get_group_members"&gt;Export Lotus Notes Group (aka Distribution List) recursively&lt;/a&gt;&lt;/p&gt;
&lt;p dir="ltr"&gt;&lt;a href="http://connext.conti.de/blogs/tdalon/entry/lotus_notes_get_user_info"&gt;Export User information&lt;/a&gt;&lt;/p&gt;
&lt;h1 id="stream" dir="ltr"&gt;Screencasts�/ Video Tutorials&lt;/h1&gt;
&lt;h2 dir="ltr"&gt;Stream Channel&lt;/h2&gt;
&lt;p style="text-align:center" dir="ltr"&gt;&lt;iframe width="960" height="540" src="https://web.microsoftstream.com/embed/channel/cb9e8c77-f19a-4825-901d-2e7ddc737103?sort&amp;#61;trending" style="border-style:none" allowfullscreen="" sandbox="allow-popups allow-same-origin allow-scripts allow-forms"&gt;&lt;/iframe&gt;&lt;br /&gt;&lt;a href="https://web.microsoftstream.com/channel/cb9e8c77-f19a-4825-901d-2e7ddc737103"&gt;Direct Link to Stream video&lt;/a&gt;&lt;br /&gt;&lt;/p&gt;
&lt;h2 dir="ltr"&gt;&lt;a href="http://connext.conti.de/blogs/tdalon/entry/lotus_notes_get_user_info"&gt;&lt;/a&gt;&lt;/h2&gt;
&lt;h2 dir="ltr"&gt;Webinar / Crash Course&lt;/h2&gt;
&lt;p dir="ltr" style="text-align:center"&gt;&lt;iframe width="640" height="360" src="https://web.microsoftstream.com/embed/video/30ec7a05-cc1d-475a-bb63-0f21bccfd619?autoplay&amp;#61;false&amp;amp;showinfo&amp;#61;true" style="border-style:none" allowfullscreen="" sandbox="allow-popups allow-same-origin allow-scripts allow-forms"&gt;&lt;/iframe&gt;&lt;br /&gt;&lt;a href="https://web.microsoftstream.com/video/30ec7a05-cc1d-475a-bb63-0f21bccfd619"&gt;Direct Link to Stream video&lt;/a&gt;&lt;br /&gt;&lt;/p&gt;
&lt;h1 dir="ltr"&gt;Development&lt;/h1&gt;
&lt;h2 dir="ltr"&gt;GitHub&lt;/h2&gt;
&lt;p dir="ltr"&gt;Tool is located in GitHub�&lt;a href="http://github.conti.de/uid41890/tools/tree/master/powertool"&gt;&lt;img src="https://connext.conti.de/files/form/anonymous/api/library/ffd279a0-2764-46bb-a8ec-b1aa3c713072/document/fe94214a-94b2-4120-8946-aa11d0824339/media/GitHub-Mark_32.png" width="32" /&gt;&lt;/a&gt;&lt;a href="http://github.conti.de/uid41890/tools/tree/master/powertool"&gt;http://github.conti.de/uid41890/tools/tree/master/powertool&lt;/a&gt;&lt;/p&gt;
&lt;p dir="ltr"&gt;It is standalone / one xlsm�file. &lt;br /&gt;For code viewing modules are exported as .bas files&lt;br /&gt;&lt;/p&gt;
&lt;h2 dir="ltr"&gt;Roadmap / Kanban�board&lt;/h2&gt;
&lt;p dir="ltr"&gt;See here &lt;a href="http://github.conti.de/uid41890/tools/projects/2"&gt;Kanban�board&lt;/a&gt; in GitHub.&lt;/p&gt;</t>
  </si>
  <si>
    <t>ConNext Enhancer: Expand Profile Pictures</t>
  </si>
  <si>
    <t>2019-07-01T23:17:19+02:00</t>
  </si>
  <si>
    <t>&lt;p dir="ltr"&gt;In a &lt;a href="http://connext.conti.de/blogs/tdalon/entry/connext_expand_mention_with_profile_picture"&gt;former post&lt;/a&gt; I have explained how to semi-automatically insert the profile picture before�&amp;#64;mentions using Notepad&amp;#43;&amp;#43; and regexp�replace.&lt;br /&gt;&lt;/p&gt;
&lt;p dir="ltr"&gt;A similar procedure is implemented in the &lt;a href="http://connext.conti.de/blogs/tdalon/entry/connext_enhancer"&gt;ConNext�Enhancer�AutoHotkey&lt;/a&gt;�script.&lt;/p&gt;
&lt;h1 dir="ltr"&gt;Installation&lt;/h1&gt;
&lt;p dir="ltr"&gt;It is included in the�ConNext�Enhancer�(ConNext_Enhancer.ahk) itself included in my AHK�scripts. See how to install my AutoHotkey�scripts&lt;/p&gt;
&lt;h1 dir="ltr"&gt;Usage&lt;/h1&gt;
&lt;p dir="ltr"&gt;Open using &lt;strong&gt;Win&amp;#43;C&lt;/strong&gt; in an opened ConNext�editor (browser window)&lt;/p&gt;
&lt;p dir="ltr"&gt;This script only works with the textbox.io editor. See�&lt;a href="https://connext.conti.de/forums/html/threadTopic?id&amp;#61;2d343045-46bf-426a-a332-f79ad9d6d260&amp;amp;ps&amp;#61;500"&gt;&lt;img src="https://connext.conti.de/files/form/anonymous/api/library/ffd279a0-2764-46bb-a8ec-b1aa3c713072/document/40c7179e-68ca-4bb9-a27d-92d5216b8b0c/media/forums_32.jpg" width="32" /&gt;&lt;/a&gt;&lt;a href="https://connext.conti.de/forums/html/threadTopic?id&amp;#61;2d343045-46bf-426a-a332-f79ad9d6d260&amp;amp;ps&amp;#61;500"&gt;How to switch ConNext Editor? - ConNext Forum&lt;/a&gt;&lt;/p&gt;
&lt;p dir="ltr"&gt;The regexpreplace is intelligent means if the profile picture already exists, it won&amp;#39;t add it again. (as in the previous version)&lt;/p&gt;
&lt;p dir="ltr"&gt;The�regexp�replace in AHK�looks like this:&lt;/p&gt;
&lt;div style="background:#ffffff;overflow:auto;width:auto;border:solid gray;border-width:0.1em 0.1em 0.1em 0.8em;padding:0.2em 0.6em" dir="ltr"&gt;
  &lt;pre style="margin:0;line-height:125%"&gt;ExpandMentionsWithProfilePicture(sHTMLCode){&lt;!-- --&gt;&lt;span style="color:#888888"&gt;&lt;/span&gt;
&lt;span style="color:#888888"&gt;; Prepend profile picture with link to the profile page before &amp;#64;mentions&lt;/span&gt;
&lt;span style="color:#888888"&gt;;  &lt;/span&gt;
sPat &lt;span style="color:#333333"&gt;&amp;#61;&lt;/span&gt; &lt;span style="color:#333333"&gt;&amp;lt;&lt;/span&gt;[&lt;span style="color:#333333"&gt;^&lt;/span&gt;&lt;span style="background-color:#fff0f0"&gt;&amp;#34;]*class&amp;#61;&amp;#34;&lt;/span&gt;vcard&lt;span style="background-color:#fff0f0"&gt;&amp;#34;.*?\?userid&amp;#61;([^&amp;#34;&lt;/span&gt;]&lt;span style="color:#333333"&gt;*&lt;/span&gt;)&lt;span style="background-color:#fff0f0"&gt;&amp;#34;.*?&amp;lt;/a&amp;gt;&lt;/span&gt;
sHTMLCode &lt;span style="color:#333333"&gt;:&amp;#61;&lt;/span&gt; &lt;span style="color:#0066bb;font-weight:bold"&gt;RegExReplace&lt;/span&gt;(sHTMLCode,sPat, &lt;span style="background-color:#fff0f0"&gt;&amp;#34;&amp;lt;a href&amp;#61;&lt;/span&gt;&lt;span style="color:#666666;font-weight:bold;background-color:#fff0f0"&gt;&amp;#34;&amp;#34;&lt;/span&gt;&lt;span style="background-color:#fff0f0"&gt;http://connext.conti.de/profiles/html/profileView.do?userid&amp;#61;$1&lt;/span&gt;&lt;span style="color:#666666;font-weight:bold;background-color:#fff0f0"&gt;&amp;#34;&amp;#34;&lt;/span&gt;&lt;span style="background-color:#fff0f0"&gt;&amp;gt;&amp;lt;img src&amp;#61;&lt;/span&gt;&lt;span style="color:#666666;font-weight:bold;background-color:#fff0f0"&gt;&amp;#34;&amp;#34;&lt;/span&gt;&lt;span style="background-color:#fff0f0"&gt;http://connext.conti.de/profiles/photo.do?userid&amp;#61;$1&lt;/span&gt;&lt;span style="color:#666666;font-weight:bold;background-color:#fff0f0"&gt;&amp;#34;&amp;#34;&lt;/span&gt;&lt;span style="background-color:#fff0f0"&gt;/&amp;gt;&amp;lt;/a&amp;gt; $0&amp;#34;&lt;/span&gt;)
&lt;span style="color:#007020"&gt;return&lt;/span&gt; sHTMLCode
}
&lt;/pre&gt;
&lt;/div&gt;
&lt;br /&gt;See video below for a demonstration how it runs:&lt;br /&gt;
&lt;p dir="ltr" style="text-align:center"&gt;&lt;iframe width="640" height="360" src="https://web.microsoftstream.com/embed/video/052a89cc-187b-4ba9-bbf5-d33734be326b?autoplay&amp;#61;false&amp;amp;showinfo&amp;#61;true" style="border-style:none" allowfullscreen="" sandbox="allow-popups allow-same-origin allow-scripts allow-forms"&gt;&lt;/iframe&gt;&lt;br /&gt;&lt;a href="https://web.microsoftstream.com/video/052a89cc-187b-4ba9-bbf5-d33734be326b"&gt;Direct Link to Stream video&lt;/a&gt;&lt;br /&gt;&lt;/p&gt;</t>
  </si>
  <si>
    <t>Ghostbusters Challenge</t>
  </si>
  <si>
    <t>2019-04-26T20:40:04+02:00</t>
  </si>
  <si>
    <t>&lt;p dir="ltr"&gt;&lt;span class="vcard"&gt;&lt;a class="fn url" href="https://connext.conti.de/profiles/html/profileView.do?userid=68E37A3BD6F18134482577D2002E1263"&gt;@Ansgar &lt;/a&gt;&lt;span class="x-lconn-userid" style="display: none"&gt;68E37A3BD6F18134482577D2002E1263&lt;/span&gt;&lt;/span&gt;kicked following challenge:&lt;/p&gt;
&lt;p dir="ltr"&gt;&lt;br /&gt;&lt;/p&gt;
&lt;div dir="ltr"&gt;&lt;em&gt;&lt;div style="display:inline !important"&gt;&lt;span style="color:rgb( 255 , 165 , 0 )"&gt;&lt;span style="font-size:25px"&gt;&lt;strong&gt;�&lt;/strong&gt;&lt;/span&gt; I want to be able to check quickly who hasn&amp;#39;t uploaded a profile picture in ConNext and get their e-mail so I can remind them to do so.&lt;/span&gt;&lt;/div&gt;&lt;/em&gt;&lt;br /&gt;&lt;/div&gt;
&lt;div dir="ltr"&gt;&lt;em&gt;&lt;span style="color:rgb( 34 , 34 , 34 );font-family:&amp;#39;helvetica neue&amp;#39; , &amp;#39;helvetica&amp;#39; , &amp;#39;arial&amp;#39; , sans-serif;font-size:12px"&gt;&lt;div&gt;&lt;em style="color:rgb( 34 , 34 , 34 );font-family:&amp;#39;helvetica neue&amp;#39; , &amp;#39;helvetica&amp;#39; , &amp;#39;arial&amp;#39; , sans-serif;font-size:12px"&gt;&lt;/em&gt;&lt;/div&gt;&lt;em style="color:rgb( 34 , 34 , 34 );font-family:&amp;#39;helvetica neue&amp;#39; , &amp;#39;helvetica&amp;#39; , &amp;#39;arial&amp;#39; , sans-serif;font-size:12px"&gt; &lt;/em&gt;&lt;/span&gt;
&lt;/em&gt;
&lt;/div&gt;
&lt;p dir="ltr"&gt;He posted his solution here:�&lt;a href="http://connext.conti.de/blogs/ansgarsblog/entry/Show_me_the_grey_ghosts"&gt;http://connext.conti.de/blogs/ansgarsblog/entry/Show_me_the_grey_ghosts&lt;/a&gt;&lt;/p&gt;
&lt;p dir="ltr"&gt;If I understood well it requires to open each profile picture in the browser and check manually then each line if grey ghost or not.&lt;/p&gt;
&lt;p dir="ltr"&gt;Here I propose a more&lt;strong&gt; inline solution&lt;/strong&gt; where for each user you will get in a comment in a cell the picture visible.&lt;/p&gt;
&lt;p dir="ltr"&gt;&lt;img src="http://connext.conti.de/blogs/tdalon/resource/BLOGS_UPLOADED_IMAGES/editor_image_72f352c9-decb-4099-8b4a-62450c38f736.png" id="img_37506020141510779748143" style="width:95%;height:20%;float:none" /&gt;&lt;/p&gt;
&lt;p dir="ltr"&gt;The macro is a bit hard-coded looking for a column named &amp;#34;e-mail&amp;#34; and &amp;#34;ConNext�Profile&amp;#34; in the current table.&lt;/p&gt;
&lt;p dir="ltr"&gt;The code looks like this:&lt;/p&gt;
&lt;div style="background:#ffffff;overflow:auto;width:auto;border:solid gray;border-width:0.1em 0.1em 0.1em 0.8em;padding:0.2em 0.6em" dir="ltr"&gt;
  &lt;pre style="margin:0;line-height:125%"&gt;&lt;span style="color:#008800;font-weight:bold"&gt;Sub&lt;/span&gt; &lt;span style="color:#0066bb;font-weight:bold"&gt;InstallPictures&lt;/span&gt;()     &lt;span style="color:#888888"&gt;&amp;#39;&amp;#34;https://connext.conti.de/profiles/photo.do?email&amp;#61;&amp;#34;&amp;amp;[&amp;#64;email]&lt;/span&gt; &lt;span style="color:#008800;font-weight:bold"&gt;Dim&lt;/span&gt; tbl &lt;span style="color:#000000;font-weight:bold"&gt;As&lt;/span&gt; ListObject &lt;span style="color:#008800;font-weight:bold"&gt;Set&lt;/span&gt; tbl &lt;span style="color:#333333"&gt;&amp;#61;&lt;/span&gt; ActiveSheet.ListObjects(&lt;span style="color:#0000dd;font-weight:bold"&gt;1&lt;/span&gt;) &lt;span style="color:#008800;font-weight:bold"&gt;If&lt;/span&gt; tbl &lt;span style="color:#000000;font-weight:bold"&gt;Is&lt;/span&gt; &lt;span style="color:#008800;font-weight:bold"&gt;Nothing&lt;/span&gt; &lt;span style="color:#008800;font-weight:bold"&gt;Then&lt;/span&gt;     Debug.Print &lt;span style="background-color:#fff0f0"&gt;&amp;#34;Table not found!&amp;#34;&lt;/span&gt;     &lt;span style="color:#008800;font-weight:bold"&gt;Exit&lt;/span&gt; &lt;span style="color:#008800;font-weight:bold"&gt;Sub&lt;/span&gt; &lt;span style="color:#0066bb;font-weight:bold"&gt;End&lt;/span&gt; &lt;span style="color:#008800;font-weight:bold"&gt;If&lt;/span&gt;
colEmail &lt;span style="color:#333333"&gt;&amp;#61;&lt;/span&gt; tbl.ListColumns(&lt;span style="background-color:#fff0f0"&gt;&amp;#34;email&amp;#34;&lt;/span&gt;).Index colProfile &lt;span style="color:#333333"&gt;&amp;#61;&lt;/span&gt; tbl.ListColumns(&lt;span style="background-color:#fff0f0"&gt;&amp;#34;ConNext Profile&amp;#34;&lt;/span&gt;).Index
&lt;span style="color:#008800;font-weight:bold"&gt;Dim&lt;/span&gt; Rng &lt;span style="color:#000000;font-weight:bold"&gt;As&lt;/span&gt; Range &lt;span style="color:#008800;font-weight:bold"&gt;Dim&lt;/span&gt; cellProfile &lt;span style="color:#000000;font-weight:bold"&gt;As&lt;/span&gt; Range &lt;span style="color:#008800;font-weight:bold"&gt;Set&lt;/span&gt; Rng &lt;span style="color:#333333"&gt;&amp;#61;&lt;/span&gt; tbl.DataBodyRange.SpecialCells(xlCellTypeVisible)
&lt;span style="color:#008800;font-weight:bold"&gt;For&lt;/span&gt; &lt;span style="color:#008800;font-weight:bold"&gt;Each&lt;/span&gt; Row &lt;span style="color:#000000;font-weight:bold"&gt;In&lt;/span&gt; Rng.Rows     strEmail &lt;span style="color:#333333"&gt;&amp;#61;&lt;/span&gt; Row.Cells(&lt;span style="color:#0000dd;font-weight:bold"&gt;1&lt;/span&gt;, colEmail).Value     &lt;span style="color:#008800;font-weight:bold"&gt;Set&lt;/span&gt; cellProfile &lt;span style="color:#333333"&gt;&amp;#61;&lt;/span&gt; Row.Cells(&lt;span style="color:#0000dd;font-weight:bold"&gt;1&lt;/span&gt;, colProfile)
    &lt;span style="color:#008800;font-weight:bold"&gt;With&lt;/span&gt; cellProfile         &lt;span style="color:#008800;font-weight:bold"&gt;If&lt;/span&gt; &lt;span style="color:#008800;font-weight:bold"&gt;Not&lt;/span&gt; cellProfile.Comment &lt;span style="color:#000000;font-weight:bold"&gt;Is&lt;/span&gt; &lt;span style="color:#008800;font-weight:bold"&gt;Nothing&lt;/span&gt; &lt;span style="color:#008800;font-weight:bold"&gt;Then&lt;/span&gt;
            cellProfile.Comment.Delete
        &lt;span style="color:#008800;font-weight:bold"&gt;End&lt;/span&gt; &lt;span style="color:#008800;font-weight:bold"&gt;If&lt;/span&gt;
        .AddComment
        .Comment.Visible &lt;span style="color:#333333"&gt;&amp;#61;&lt;/span&gt; &lt;span style="color:#008800;font-weight:bold"&gt;False&lt;/span&gt;         .Comment.Text Text:&lt;span style="color:#333333"&gt;&amp;#61;&lt;/span&gt;&lt;span style="background-color:#fff0f0"&gt;&amp;#34;&amp;#34;&lt;/span&gt;         .Comment.Shape.Fill.UserPicture (&lt;span style="background-color:#fff0f0"&gt;&amp;#34;https://connext.conti.de/profiles/photo.do?email&amp;#61;&amp;#34;&lt;/span&gt; &lt;span style="color:#333333"&gt;&amp;amp;&lt;/span&gt; strEmail)         &lt;span style="color:#888888"&gt;&amp;#39;.Comment.Shape.LockAspectRatio &amp;#61; msoTrue&lt;/span&gt;         &lt;span style="color:#888888"&gt;&amp;#39;.Comment.Shape.ScaleWidth 3, msoFalse, msoScaleFromTopLeft&lt;/span&gt;         &lt;span style="color:#888888"&gt;&amp;#39;.Comment.Shape.ScaleHeight 3, msoFalse, msoScaleFromTopLeft&lt;/span&gt;      &lt;span style="color:#008800;font-weight:bold"&gt;End&lt;/span&gt; &lt;span style="color:#008800;font-weight:bold"&gt;With&lt;/span&gt; &lt;span style="color:#008800;font-weight:bold"&gt;Next&lt;/span&gt;
&lt;span style="color:#008800;font-weight:bold"&gt;End&lt;/span&gt; &lt;span style="color:#008800;font-weight:bold"&gt;Sub&lt;/span&gt; &lt;/pre&gt; &lt;/div&gt;
&lt;p dir="ltr"&gt;Macro is available in the Module ConNext_Pictures in my updated�&lt;a href="http://connext.conti.de/files/form/anonymous/api/library/70519b79-9bd0-4443-b10e-9472f0da6307/document/db2d4dec-6156-4df6-a41c-8ab53f6cbb19/media/ConNext_Lotus_Notes_Tools.xlsm" title="Download ConNext_Lotus_Notes_Tools.xlsm" target="_blank" rel="noopener noreferrer"&gt;&lt;img src="http://connext.conti.de/connections/resources/web/com.ibm.lconn.core.styles.oneui3/images/blank.gif?etag&amp;#61;20171128.163841" class="lconn-ftype16 lconn-ftype16-xlsm" /&gt;&lt;strong&gt;ConNext_Lotus_Notes_Tools.xlsm&lt;/strong&gt;&lt;/a&gt;&lt;span class="lotusDivider"&gt;|&lt;/span&gt;&lt;a href="http://connext.conti.de/files/app/file/db2d4dec-6156-4df6-a41c-8ab53f6cbb19" title="View details of ConNext_Lotus_Notes_Tools.xlsm" target="_blank" rel="noopener noreferrer"&gt;View Details&lt;/a&gt;&lt;a href="http://connext.conti.de/files/app/file/f3cb152a-a697-43d6-bc78-95026dc0b876" title="View details of ConNext_Export.xlsm" target="_blank" style="font-family:&amp;#39;helvetica neue&amp;#39; , &amp;#39;helvetica&amp;#39; , &amp;#39;arial&amp;#39; , sans-serif;font-size:12px" rel="noopener noreferrer"&gt;&lt;/a&gt;&lt;/p&gt;
&lt;p dir="ltr"&gt;You might need to open one profile in the Browser to get the picture linking working/ set the connection upright.&lt;/p&gt;
&lt;p dir="ltr"&gt;&lt;br /&gt;&lt;/p&gt;
&lt;div class="lotusMessage lotusWarning" dir="ltr"&gt;&lt;img class="lotusIcon lotusIconMsgWarning" src="http://connext.conti.de/connections/resources/web/com.ibm.lconn.core.styles.oneui3/images/blank.gif" /&gt;
  &lt;div class="lotusMessageBody"&gt;You have to follow one ConNext�profile link to get the picture right. (else you get a grey ghost)&lt;/div&gt;
&lt;/div&gt;
&lt;p dir="ltr"&gt;&lt;br /&gt;&lt;/p&gt;
&lt;hr dir="ltr" /&gt;
&lt;p dir="ltr"&gt;Credit: I have taken the comment idea from a File in &lt;span class="vcard"&gt;&lt;a class="fn url" href="https://connext.conti.de/profiles/html/profileView.do?userid=E01EFD954EAF8E4FC12573A6002E8902"&gt;@Jens &lt;/a&gt;&lt;span class="x-lconn-userid" style="display: none"&gt;E01EFD954EAF8E4FC12573A6002E8902&lt;/span&gt;&lt;/span&gt;&amp;#39;s�VBA�Community.&lt;/p&gt;</t>
  </si>
  <si>
    <t>ConNext Export Event Attendees to Excel</t>
  </si>
  <si>
    <t>2019-04-26T20:40:49+02:00</t>
  </si>
  <si>
    <t>&lt;p dir="ltr"&gt;Last week I have done a &lt;a href="http://connext.conti.de/wikis/home/wiki/Wfc9c449703d9_4d98_b2a4_497ed91552b7/page/%23129%20-%20ConNext%20Events%20Export%20and%20or%20Mailto%20list%20of%20attendees"&gt;suggestion to ConNext&lt;/a&gt; to have the possibility to export the list of email of the attendees of a ConNext�event.&lt;/p&gt;
&lt;p dir="ltr"&gt;So you can conveniently send them a real invitation without much &lt;a href="http://connext.conti.de/profiles/html/profileView.do?userid&amp;#61;9C6BF7AEB4195B66C125803600416EFA&amp;amp;entryId&amp;#61;41005f88-6e28-49d2-bc1b-94ac20afb809"&gt;&amp;#34;extra effort&amp;#34;&lt;/a&gt;�(&lt;span class="vcard"&gt;&lt;a class="fn url" href="https://connext.conti.de/profiles/html/profileView.do?userid=366EF0FDA1C1FACEC12577E20025A911"&gt;@Harald Schirmer&lt;/a&gt;&lt;span class="x-lconn-userid" style="display: none"&gt;366EF0FDA1C1FACEC12577E20025A911&lt;/span&gt;&lt;/span&gt;).&lt;/p&gt;
&lt;p dir="ltr"&gt;I have finally implemented a solution re-using 90% of my &lt;a href="http://connext.conti.de/blogs/tdalon/entry/improved_excel_connext_profiles_export"&gt;ConNext�Export Profile search Excel/VBA�Tool&lt;/a&gt;.&lt;/p&gt;
&lt;p dir="ltr"&gt;The final solution merges both feature in one file available in &lt;a href="http://connext.conti.de/blogs/tdalon/entry/ConNext_Lotus_Notes_Excel_Tool"&gt;this post&lt;/a&gt;.&lt;/p&gt;
&lt;p dir="ltr"&gt;&lt;br /&gt;&lt;/p&gt;
&lt;p dir="ltr"&gt;&lt;span style="color:rgb( 34 , 34 , 34 );font-family:&amp;#39;helvetica neue&amp;#39; , &amp;#39;helvetica&amp;#39; , &amp;#39;arial&amp;#39; , sans-serif;font-size:12px"&gt;To use it: open the second Tab &amp;#34;Attendees&amp;#34;.&lt;/span&gt;&lt;/p&gt;
&lt;p dir="ltr"&gt;&lt;span style="color:rgb( 34 , 34 , 34 );font-family:&amp;#39;helvetica neue&amp;#39; , &amp;#39;helvetica&amp;#39; , &amp;#39;arial&amp;#39; , sans-serif;font-size:12px"&gt;Paste in B1 the url�to the ConNext�Event (the tool will extract the EventUid out of it).&lt;/span&gt;&lt;/p&gt;
&lt;p dir="ltr"&gt;&lt;span style="color:rgb( 34 , 34 , 34 );font-family:&amp;#39;helvetica neue&amp;#39; , &amp;#39;helvetica&amp;#39; , &amp;#39;arial&amp;#39; , sans-serif;font-size:12px"&gt;&lt;img src="http://connext.conti.de/blogs/tdalon/resource/BLOGS_UPLOADED_IMAGES/editor_image_cdbc6fe5-d877-43d6-8c01-119b29d88785.png" id="img_89073753131507816015497" style="width:95%;height:57%;margin:0px auto;display:block" /&gt;&lt;br /&gt;&lt;/span&gt;&lt;/p&gt;
&lt;p dir="ltr"&gt;Press the Run button.&lt;br /&gt;&lt;/p&gt;
&lt;p dir="ltr"&gt;&lt;span style="color:rgb( 34 , 34 , 34 );font-family:&amp;#39;helvetica neue&amp;#39; , &amp;#39;helvetica&amp;#39; , &amp;#39;arial&amp;#39; , sans-serif;font-size:12px"&gt;&lt;/span&gt;&lt;br /&gt;&lt;/p&gt;
&lt;div style="background:rgb( 255 , 255 , 255 );border-width:0.1em 0.1em 0.1em 0.8em;border-style:solid;border-color:rgb( 255 , 165 , 0 );padding:0.2em 0.6em;width:auto;overflow:auto" dir="ltr"&gt;&lt;img src="http://connext.conti.de/files/form/anonymous/api/library/ffd279a0-2764-46bb-a8ec-b1aa3c713072/document/9b908be6-fec1-4c63-9b34-de4f452bd3ba/media/idea_32_orange.png" /&gt; To file an e-mail�to this list with a click on a button, have a look at &lt;a href="http://connext.conti.de/blogs/tdalon/entry/excel_table_mailto"&gt;this post&lt;/a&gt;. Also useful to invite in a meeting.&lt;/div&gt;
&lt;p dir="ltr"&gt;&lt;br /&gt;&lt;/p&gt;
&lt;hr dir="ltr" /&gt;
&lt;p dir="ltr"&gt;&lt;span style="color:rgb( 34 , 34 , 34 );font-family:&amp;#39;helvetica neue&amp;#39; , &amp;#39;helvetica&amp;#39; , &amp;#39;arial&amp;#39; , sans-serif;font-size:12px"&gt;&lt;br /&gt;&lt;/span&gt;&lt;/p&gt;
&lt;p dir="ltr"&gt;&lt;span style="color:rgb( 34 , 34 , 34 );font-family:&amp;#39;helvetica neue&amp;#39; , &amp;#39;helvetica&amp;#39; , &amp;#39;arial&amp;#39; , sans-serif;font-size:12px"&gt;This file could be used as basis for different export tasks.&lt;/span&gt;&lt;/p&gt;
&lt;p dir="ltr"&gt;&lt;span style="color:rgb( 34 , 34 , 34 );font-family:&amp;#39;helvetica neue&amp;#39; , &amp;#39;helvetica&amp;#39; , &amp;#39;arial&amp;#39; , sans-serif;font-size:12px"&gt;The core feature is based on this api�function &lt;a href="https://www-10.lotus.com/ldd/lcwiki.nsf/xpAPIViewer.xsp?lookupName&amp;#61;IBM&amp;#43;Connections&amp;#43;5.5&amp;#43;API&amp;#43;Documentation#action&amp;#61;openDocument&amp;amp;res_title&amp;#61;Retrieving_attendees_list_of_a_community_event_instance_ic55&amp;amp;content&amp;#61;apicontent" style="color:rgb( 227 , 135 , 2 );font-family:&amp;#39;arial&amp;#39; , &amp;#39;helvetica&amp;#39; , sans-serif;font-size:12px"&gt;https://www-10.lotus.com/ldd/lcwiki.nsf/xpAPIViewer.xsp?lookupName&amp;#61;IBM&amp;#43;Connections&amp;#43;5.5&amp;#43;API&amp;#43;Documentation#action&amp;#61;openDocument&amp;amp;res_title&amp;#61;Retrieving_attendees_list_of_a_community_event_instance_ic55&amp;amp;content&amp;#61;apicontent&lt;/a&gt;&lt;span style="color:rgb( 41 , 41 , 41 );font-family:&amp;#39;arial&amp;#39; , &amp;#39;helvetica&amp;#39; , sans-serif;font-size:12px"&gt;�&lt;/span&gt;&lt;/span&gt;&lt;br /&gt;&lt;/p&gt;</t>
  </si>
  <si>
    <t>Excel Formula to add link to ConNext Profile</t>
  </si>
  <si>
    <t>2019-04-26T20:40:26+02:00</t>
  </si>
  <si>
    <t>&lt;p dir="ltr"&gt;You might maintain a list of colleagues with their email in an Excel sheet, coming for example from an &lt;a href="http://connext.conti.de/blogs/tdalon/entry/connext_export_profile_search_email"&gt;export of ConNext profile search&lt;/a&gt; or an &lt;a href="http://connext.conti.de/blogs/tdalon/entry/lotus_notes_get_group_members"&gt;export of Lotus Notes Distribution List&lt;/a&gt;.
&lt;/p&gt;
&lt;p dir="ltr"&gt;Now did you know it is pretty easy to add a column with link to their ConNext Profiles?&lt;/p&gt;
&lt;p dir="ltr"&gt;If you have a table with a Column named &amp;#34;email&amp;#34;, the formula looks as simple as this:&lt;/p&gt;
&lt;p dir="ltr"&gt;&amp;#61;HYPERLINK(&amp;#34;http://connext.conti.de/profiles/html/profileView.do?email&amp;#61;&amp;#34;&amp;amp;[&amp;#64;email],&amp;#34;Link&amp;#34;)
&lt;/p&gt;
&lt;p dir="ltr"&gt;&lt;img id="img_88970978351499863761298" style="margin:0px auto;width:95%;height:22%;display:block" src="http://connext.conti.de/blogs/tdalon/resource/BLOGS_UPLOADED_IMAGES/image_808094903841499863761121.png" /&gt;
  &lt;br /&gt;
&lt;/p&gt;
&lt;p dir="ltr"&gt;It is implemented as default column in my &lt;a href="http://connext.conti.de/blogs/tdalon/entry/improved_excel_connext_profiles_export"&gt;ConNext Profiles Export Excel Tool&lt;/a&gt;.
  &lt;br /&gt;
&lt;/p&gt;
&lt;h2 dir="ltr"&gt;See also&lt;/h2&gt;
&lt;p dir="ltr"&gt;&lt;a href="http://connext.conti.de/blogs/tdalon/entry/excel_table_mailto"&gt;Excel macro: mail to list of email addresses in a table column&lt;/a&gt;&lt;/p&gt;
&lt;p dir="ltr"&gt;&lt;a href="http://connext.conti.de/blogs/tdalon/entry/improved_excel_connext_profiles_export"&gt;Improved ConNext Profiles Export to Excel
				&lt;/a&gt;
  &lt;br /&gt;
&lt;/p&gt;
&lt;p dir="ltr"&gt;
  &lt;br /&gt;
&lt;/p&gt;</t>
  </si>
  <si>
    <t>Improved ConNext Profiles Export to Excel/ Profiles Tags Extractor</t>
  </si>
  <si>
    <t>2019-05-24T10:56:17+02:00</t>
  </si>
  <si>
    <t>&lt;p dir="ltr"&gt;In response to: &lt;a href="http://connext.conti.de/blogs/tdalon/entry/connext_export_profile_search_email"&gt;ConNext: Export Profiles Search to Excel/ Email to search results&lt;/a&gt;&lt;/p&gt; I have updated this file to add a Link to the ConNext Profiles and also extract profile tags. &lt;br /&gt;
&lt;br /&gt;You can download the .xlsm file here:
&lt;p dir="ltr"&gt;&lt;a href="http://github.conti.de/uid41890/tools/blob/master\ConNext_Lotus_Notes_Tools.xlsm"&gt;&lt;/a&gt;&lt;a href="http://github.conti.de/uid41890/tools/blob/master/GUIDE_PowerTool.xlsm"&gt;&lt;img src="https://connext.conti.de/files/form/anonymous/api/library/ffd279a0-2764-46bb-a8ec-b1aa3c713072/document/361e94ae-1757-4cf0-a738-6e9c79a15382/media/file_excel_32.png" width="32" /&gt;GUIDE_PowerTool.xlsm&lt;/a&gt;�(from &lt;a href="http://github.conti.de/uid41890/tools"&gt;&lt;img src="https://connext.conti.de/files/form/anonymous/api/library/ffd279a0-2764-46bb-a8ec-b1aa3c713072/document/fe94214a-94b2-4120-8946-aa11d0824339/media/GitHub-Mark_32.png" width="32" style="float:none" /&gt;&lt;/a&gt; &lt;a href="http://github.conti.de/uid41890/tools"&gt;http://github.conti.de/uid41890/tools&lt;/a&gt;)&lt;br /&gt;&lt;/p&gt; &lt;br /&gt; See previous post &lt;a href="http://connext.conti.de/blogs/tdalon/entry/connext_export_profile_search_email"&gt;&lt;span style="text-decoration:underline"&gt;ConNext: Export Profiles Search to Excel/ Email to search results&lt;/span&gt;&lt;/a&gt;�for usage instructions. &lt;br /&gt;
&lt;br /&gt;In this new version you will see two new columns: &lt;em&gt;ConNext Profile&lt;/em&gt; and &lt;em&gt;Tags&lt;/em&gt;. &lt;br /&gt;The ConNext Profile is a link to the profile page, built using a formula as explained &lt;a href="http://connext.conti.de/blogs/tdalon/entry/Excel_Formula_to_add_link_to_ConNext_Profile"&gt;here&lt;/a&gt;. &lt;br /&gt;I have programmed a function that will also extract the profile tags.
&lt;br /&gt;You can also use it as formula: it takes as input the profile email: &amp;#61;GetProfileTags([&amp;#64;email]) &lt;br /&gt;[It calls via GET WebRequest/REST for each email such url:�&lt;a class="contentLink" style="background:rgb( 255 , 255 , 255 );margin:0px;padding:0px;outline:0px;border:0px;color:rgb( 136 , 136 , 136 );text-transform:none;text-indent:0px;letter-spacing:normal;font-family:&amp;#39;helvetica neue&amp;#39; , &amp;#39;arial&amp;#39; , sans-serif;font-size:15px;font-style:normal;font-weight:normal;text-decoration:underline;word-spacing:0px;vertical-align:baseline;white-space:pre-wrap" href="http://connext.conti.de/profiles/atom/profileTags.do?targetEmail&amp;#61;Thierry.Dalon&amp;#64;continental-corporation.com" target="_blank" rel="noreferrer noopener noreferrer noopener noreferrer"&gt;http://connext.conti.de/&lt;span class="contentMatch" style="background:rgb( 255 , 255 , 153 );margin:0px;padding:0px;outline:0px;border:0px;font-size:15px;vertical-align:baseline"&gt;&lt;span style="font-family:&amp;#39;arial&amp;#39;"&gt;profile&lt;/span&gt;&lt;/span&gt;s/atom/&lt;span class="contentMatch" style="background:rgb( 255 , 255 , 153 );margin:0px;padding:0px;outline:0px;border:0px;font-size:15px;vertical-align:baseline"&gt;&lt;span style="font-family:&amp;#39;arial&amp;#39;"&gt;profile&lt;/span&gt;&lt;/span&gt;Tags.do?targetEmail&amp;#61;Thierry.Dalon&amp;#64;continental-corporation.com&lt;/a&gt;] &lt;br /&gt;If you don&amp;#39;t use this information for your export, simply&lt;strong&gt; delete this column&lt;/strong&gt;. It takes of course much longer to extract this information. &lt;br /&gt;
&lt;br /&gt;You can use this function &lt;span style="text-decoration:underline"&gt;anywhere&lt;/span&gt; in any user table where you have an email in a column. &lt;br /&gt;For example�after exporting the list of users in a Community for example to check if all members of the�community ambassador are tagged with ambassador &lt;span class="vcard"&gt;&lt;a class="fn url" href="https://connext.conti.de/profiles/html/profileView.do?userid=4A032C04D40F5C0DC1257EFB00363FF8"&gt;@Viktoria Weishaupt&lt;/a&gt;&lt;span class="x-lconn-userid" style="display: none"&gt;4A032C04D40F5C0DC1257EFB00363FF8&lt;/span&gt;&lt;/span&gt;, &lt;span class="vcard"&gt;&lt;a class="fn url" href="https://connext.conti.de/profiles/html/profileView.do?userid=A6E5521FB38FE27DC12573A60032774F"&gt;@Franz Stolz&lt;/a&gt;&lt;span class="x-lconn-userid" style="display: none"&gt;A6E5521FB38FE27DC12573A60032774F&lt;/span&gt;&lt;/span&gt;. &lt;br /&gt;
&lt;br /&gt;It is convenient�if you want�to do some filtering by tags a posteriori, using for example multiple AND contains by text filters. &lt;br /&gt;
&lt;br /&gt;&lt;img id="img_3712707851499864835388" style="margin:0px auto;width:95%;height:35%;display:block" src="http://connext.conti.de/blogs/tdalon/resource/BLOGS_UPLOADED_IMAGES/editor_image_9fdee5ac-1800-4ab0-8f78-a24cb08163df.png" /&gt; &lt;br /&gt;ENJOY!
&lt;br /&gt; &lt;br /&gt;
&lt;br /&gt; &lt;br /&gt;</t>
  </si>
  <si>
    <t>ConNext: Export Profiles Search to Excel/ Email to search results</t>
  </si>
  <si>
    <t>2019-04-26T21:12:58+02:00</t>
  </si>
  <si>
    <t xml:space="preserve">&lt;p dir="ltr"&gt;
  &lt;a href="http://connext.conti.de/wikis/form/api/wiki/0f00fbe8-bd6f-4e89-8602-2ab9d27da198/page/2dd826a1-8779-487e-9632-8f993ced7e1f/attachment/dacda782-10eb-435f-b556-1063654e1837/media/Continental_Pictogram_Act_sRGB.png?preventCache&amp;#61;1495661105406" target="_blank" rel="noopener noreferrer noopener noreferrer noopener noreferrer"&gt;&lt;img style="float:left" alt="image" src="http://connext.conti.de/files/basic/anonymous/api/library/ffd279a0-2764-46bb-a8ec-b1aa3c713072/document/c6cf0424-67a7-4cdc-bc19-1f433ec3dd05/media/speed.png" /&gt;&lt;/a&gt;
  &lt;br /&gt;2017-07-12: UPDATED version with Tags Extractor and Link to Profiles is &lt;a href="http://connext.conti.de/blogs/tdalon/entry/improved_excel_connext_profiles_export?lang&amp;#61;en"&gt;available&lt;/a&gt;.&lt;/p&gt;
&lt;hr dir="ltr" /&gt;
&lt;p dir="ltr"&gt;A common use-case in ConNext is when searching for profiles to want to export the results for example to an Excel file.&lt;/p&gt;
&lt;p dir="ltr"&gt;Mainly you may want to get the list of the matching profiles emails. But I could imagine wanting to have other information like location, business unit, country, city, phone or &lt;strong&gt;tags&lt;/strong&gt; etc.&lt;/p&gt;
&lt;p dir="ltr"&gt;Unfortunately it is not possible out of the box in our ConNext. (I have done &lt;a href="https://connext.conti.de/blogs/tdalon/entry/my_connext_suggestions"&gt;a suggestion&lt;/a&gt; for this.)&lt;/p&gt;
&lt;p dir="ltr"&gt;A first macro-based solution was proposed by &lt;span class="vcard"&gt;&lt;a class="fn url" href="https://connext.conti.de/profiles/html/profileView.do?userid=E57AFF9BB7CE969FC12573A6002F4366"&gt;@Juergen Hagg&lt;/a&gt;&lt;span class="x-lconn-userid" style="display: none"&gt;E57AFF9BB7CE969FC12573A6002F4366&lt;/span&gt;&lt;/span&gt; as published by &lt;span class="vcard"&gt;&lt;a class="fn url" href="https://connext.conti.de/profiles/html/profileView.do?userid=366EF0FDA1C1FACEC12577E20025A911"&gt;@Harald Schirmer&lt;/a&gt;&lt;span class="x-lconn-userid" style="display: none"&gt;366EF0FDA1C1FACEC12577E20025A911&lt;/span&gt;&lt;/span&gt; in this post &lt;a href="https://connext.conti.de/blogs/a0b50567-6e55-4fa2-a56b-f98805fe91df/entry/Great_efficiency_macro_for_TAG_filtered_lists"&gt;https://connext.conti.de/blogs/a0b50567-6e55-4fa2-a56b-f98805fe91df/entry/Great_efficiency_macro_for_TAG_filtered_lists&lt;/a&gt;.&lt;/p&gt;
&lt;p dir="ltr"&gt;Still you have to run the search manually and copy/paste the results for each page one-by-one. &lt;/p&gt;
&lt;p dir="ltr"&gt;Ok. each page has 150 users but if you run a broad search (e.g. by tag #ambassador) you may have to scroll through many pages. In the #ambassador case, 9 pages for 1202 results.
  &lt;br /&gt;
&lt;/p&gt;
&lt;p dir="ltr"&gt;&lt;img id="img_70975217771497649138495" style="margin:0px auto;width:95%;height:28%;display:block" src="http://connext.conti.de/blogs/tdalon/resource/BLOGS_UPLOADED_IMAGES/image_1054934943591497649138305.png" /&gt;
  &lt;br /&gt;
&lt;/p&gt;
&lt;p dir="ltr"&gt;Here I present a solution that will save you the manual work of copy/ paste for each page result.&lt;/p&gt;
&lt;p dir="ltr"&gt;It is based on the ConNext api called from Excel via VBA using the &lt;a href="http://vba-tools.github.io/VBA-Web/"&gt;VBA-Web package&lt;/a&gt; I have also used for this Excel &lt;a href="http://connext.conti.de/wikis/home#!/wiki/Wa8a86fe4ac2b_4e9d_8e98_17d4671c70f8/page/JIRA%20Pusher"&gt;JIRA Pusher&lt;/a&gt; tool.&lt;/p&gt;
&lt;hr dir="ltr" /&gt;
&lt;h2 dir="ltr"&gt;Download / Setup&lt;/h2&gt;See &lt;a href="https://connext.conti.de/blogs/tdalon/entry/guide_powertool"&gt;here&lt;/a&gt;.&lt;span class="lotusDivider" style="color:rgb( 34 , 34 , 34 );font-family:&amp;#39;helvetica neue&amp;#39; , &amp;#39;helvetica&amp;#39; , &amp;#39;arial&amp;#39; , sans-serif;font-size:12px"&gt;&lt;br /&gt;For the connection you need to enter you password in a &lt;em&gt;password.txt&lt;/em&gt; file located in your &lt;span style="color:rgb( 41 , 41 , 41 );text-transform:none;text-indent:0px;letter-spacing:normal;font-family:&amp;#39;arial&amp;#39; , &amp;#39;helvetica&amp;#39; , sans-serif;font-size:12px;font-style:normal;font-weight:normal;word-spacing:0px;float:none;display:inline;white-space:normal;background-color:rgb( 255 , 255 , 255 )"&gt;%userprofile%&lt;/span&gt; directory (only accessible from your login account).
&lt;br /&gt;
&lt;h2 dir="ltr"&gt;Run&lt;/h2&gt;
&lt;p dir="ltr"&gt;On the top of sheet right next to the Table you will find a &amp;#34;Run&amp;#34; button. Click on it.&lt;/p&gt;
&lt;p dir="ltr"&gt;It will then prompt you (like for the other &lt;a href="http://connext.conti.de/blogs/tdalon/entry/connext_quick_search_profiles"&gt;quick search standalone script&lt;/a&gt;) to define your search query:
  &lt;br /&gt;
&lt;/p&gt;
&lt;p dir="ltr"&gt;
  &lt;br /&gt;
&lt;/p&gt;
&lt;img style="margin:0px auto;display:block" src="http://connext.conti.de/blogs/tdalon/resource/BLOGS_UPLOADED_IMAGES/editor_image_e3d56683-5f4a-4a49-887e-86f963d7fd93.png" /&gt;
&lt;p dir="ltr"&gt;You can filter by multiple tags using hash # before. The order is not important.&lt;/p&gt;
&lt;p dir="ltr"&gt;The table will then be filled automagically:&lt;/p&gt;
&lt;p dir="ltr"&gt;&lt;img id="img_31647248451498734369944" style="margin:0px auto;width:95%;height:52%;display:block" src="http://connext.conti.de/blogs/tdalon/resource/BLOGS_UPLOADED_IMAGES/image_34717660441498734369699.png" /&gt;&lt;/p&gt;
&lt;p dir="ltr"&gt;ENJOY!
&lt;/p&gt;
&lt;p dir="ltr"&gt;
  &lt;a href="http://connext.conti.de/wikis/form/api/wiki/0f00fbe8-bd6f-4e89-8602-2ab9d27da198/page/2dd826a1-8779-487e-9632-8f993ced7e1f/attachment/dacda782-10eb-435f-b556-1063654e1837/media/Continental_Pictogram_Act_sRGB.png?preventCache&amp;#61;1495661105406" target="_blank" rel="noopener noreferrer noopener noreferrer noopener noreferrer"&gt;&lt;img style="float:left" alt="image" src="http://connext.conti.de/files/basic/anonymous/api/library/ffd279a0-2764-46bb-a8ec-b1aa3c713072/document/c6cf0424-67a7-4cdc-bc19-1f433ec3dd05/media/speed.png" /&gt;&lt;/a&gt; �
  &lt;br /&gt;You can then send an email to them quickly using this &lt;a href="http://connext.conti.de/blogs/tdalon/entry/excel_table_mailto%C3%A2%C2%80%C2%8B"&gt;&lt;span style="text-decoration:underline"&gt;Excel macro to email in one click to filtered email adresses in column in a table.&lt;/span&gt;&lt;/a&gt;&lt;/p&gt;
&lt;p dir="ltr"&gt;
  &lt;br /&gt;
&lt;/p&gt;
&lt;hr dir="ltr" /&gt;
&lt;h2 dir="ltr"&gt;Troubleshooting&lt;/h2&gt;
&lt;p dir="ltr"&gt;In case the script is not working, it may be due to a password synchronization issue. Follow &lt;a href="http://connext.conti.de/blogs/tdalon/entry/connext_scripts_broken"&gt;this post&lt;/a&gt; to solve.&lt;/p&gt;
&lt;p dir="ltr"&gt;You can check if your password is properly sync&amp;#39;ed in &lt;a href="https://links.conti.de/iam"&gt;IAM&lt;/a&gt; by entering it under Password-&amp;gt;Change Password
  &lt;br /&gt;
&lt;/p&gt;
&lt;p dir="ltr"&gt;&lt;img src="http://connext.conti.de/blogs/tdalon/resource/BLOGS_UPLOADED_IMAGES/image_534956176841501156535023.png" id="img_59866515051501156535331" style="margin:0px auto;display:block;width:95%;height:49%" /&gt;
  &lt;br /&gt;
&lt;/p&gt;
&lt;p dir="ltr"&gt;
  &lt;br /&gt;
&lt;/p&gt;
&lt;hr dir="ltr" /&gt;
&lt;h2 dir="ltr"&gt;Implementation Lessons&lt;br /&gt;&lt;/h2&gt;
&lt;p dir="ltr"&gt;The VBA implementation uses the &lt;a href="http://vba-tools.github.io/VBA-Web/"&gt;VBA-Web package&lt;/a&gt; to run the &lt;a href="https://www-10.lotus.com/ldd/lcwiki.nsf/xpAPIViewer.xsp?lookupName&amp;#61;IBM&amp;#43;Connections&amp;#43;5.5&amp;#43;API&amp;#43;Documentation#action&amp;#61;openDocument&amp;amp;res_title&amp;#61;Search_API_ic55&amp;amp;content&amp;#61;apicontent"&gt;REST API Search command&lt;/a&gt; by HTTPGET.&lt;/p&gt;
&lt;p dir="ltr"&gt;The response data is parsed using MSXML2.DOMDocument objects.&lt;/p&gt;
&lt;p dir="ltr"&gt;Having a look at the response structure I have found out that you can easily get the list of users by retrieving the author nodes. (Set AuthorList &amp;#61; oData.getElementsByTagName(&amp;#34;author&amp;#34;)). Only you have to skip the first author node which contains &amp;lt;name&amp;gt;connext.conti.de&amp;lt;/name&amp;gt;.&lt;/p&gt;
&lt;p dir="ltr"&gt;To each author only these 4 properties are directly&amp;#61;easily accessible: &lt;em&gt;email&lt;/em&gt; &lt;em&gt;snx:userid snx:userState name
&lt;/em&gt;&lt;/p&gt;
&lt;hr dir="ltr" /&gt;
&lt;h2 dir="ltr"&gt;Related posts&lt;br /&gt;&lt;/h2&gt;
&lt;p dir="ltr"&gt;&lt;a href="http://connext.conti.de/blogs/tdalon/entry/excel_table_mailto%C3%A2%C2%80%C2%8B"&gt;Excel macro to email in one click to filtered email adresses in column in a table.&lt;/a&gt;&lt;/p&gt;
&lt;p dir="ltr"&gt;&lt;a href="http://connext.conti.de/blogs/tdalon/entry/lotus_notes_get_group_members"&gt;How to export email adresses from Lotus Notes Distribution List&lt;/a&gt;&lt;/p&gt;
&lt;p dir="ltr"&gt;
  &lt;br /&gt;
&lt;/p&gt;
</t>
  </si>
  <si>
    <t>entry.link.Attribute:href</t>
  </si>
  <si>
    <t>https://connext.conti.de/blogs/tdalon/entry/Extract_Likers_from_a_ConNext_Blog_post?lang=en_us</t>
  </si>
  <si>
    <t>https://connext.conti.de/blogs/tdalon/feed/entry/atom?entryid=52a95748-f30e-499f-806b-a1689cd116be&amp;lang=en_us</t>
  </si>
  <si>
    <t>https://connext.conti.de/blogs/tdalon/feed/entrycomments/Extract_Likers_from_a_ConNext_Blog_post/atom?lang=en_us</t>
  </si>
  <si>
    <t>https://connext.conti.de/blogs/home/api/reports/entries/52a95748-f30e-499f-806b-a1689cd116be?lang=en_us</t>
  </si>
  <si>
    <t>https://connext.conti.de/blogs/tdalon/feed/entryrecommendations/52a95748-f30e-499f-806b-a1689cd116be/atom?lang=en_us</t>
  </si>
  <si>
    <t>https://connext.conti.de/blogs/tdalon?tags=api&amp;lang=en_us</t>
  </si>
  <si>
    <t>https://connext.conti.de/blogs/tdalon?tags=connext&amp;lang=en_us</t>
  </si>
  <si>
    <t>https://connext.conti.de/blogs/tdalon?tags=blog&amp;lang=en_us</t>
  </si>
  <si>
    <t>https://connext.conti.de/blogs/tdalon?tags=powertool&amp;lang=en_us</t>
  </si>
  <si>
    <t>https://connext.conti.de/blogs/tdalon/entry/webinar_guide_power_tools?lang=en_us</t>
  </si>
  <si>
    <t>https://connext.conti.de/blogs/tdalon/feed/entry/atom?entryid=8de955d2-992e-407f-b03f-4f380ab803ea&amp;lang=en_us</t>
  </si>
  <si>
    <t>https://connext.conti.de/blogs/tdalon/feed/entrycomments/webinar_guide_power_tools/atom?lang=en_us</t>
  </si>
  <si>
    <t>https://connext.conti.de/blogs/home/api/reports/entries/8de955d2-992e-407f-b03f-4f380ab803ea?lang=en_us</t>
  </si>
  <si>
    <t>https://connext.conti.de/blogs/tdalon/feed/entryrecommendations/8de955d2-992e-407f-b03f-4f380ab803ea/atom?lang=en_us</t>
  </si>
  <si>
    <t>https://connext.conti.de/blogs/tdalon?tags=connext_enhancer&amp;lang=en_us</t>
  </si>
  <si>
    <t>https://connext.conti.de/blogs/tdalon?tags=_screencast&amp;lang=en_us</t>
  </si>
  <si>
    <t>https://connext.conti.de/blogs/tdalon?tags=authotkey&amp;lang=en_us</t>
  </si>
  <si>
    <t>https://connext.conti.de/blogs/tdalon?tags=guide&amp;lang=en_us</t>
  </si>
  <si>
    <t>https://connext.conti.de/blogs/tdalon?tags=ms_excel&amp;lang=en_us</t>
  </si>
  <si>
    <t>https://connext.conti.de/blogs/tdalon?tags=vba&amp;lang=en_us</t>
  </si>
  <si>
    <t>https://connext.conti.de/blogs/tdalon?tags=ahk&amp;lang=en_us</t>
  </si>
  <si>
    <t>https://connext.conti.de/blogs/tdalon?tags=webinar&amp;lang=en_us</t>
  </si>
  <si>
    <t>https://connext.conti.de/blogs/tdalon/entry/ConNext_Profiles_Statistics_by_Tags?lang=en_us</t>
  </si>
  <si>
    <t>https://connext.conti.de/blogs/tdalon/feed/entry/atom?entryid=fd48304c-c069-4417-bbc7-e4cb3a37c72c&amp;lang=en_us</t>
  </si>
  <si>
    <t>https://connext.conti.de/blogs/tdalon/feed/entrycomments/ConNext_Profiles_Statistics_by_Tags/atom?lang=en_us</t>
  </si>
  <si>
    <t>https://connext.conti.de/blogs/home/api/reports/entries/fd48304c-c069-4417-bbc7-e4cb3a37c72c?lang=en_us</t>
  </si>
  <si>
    <t>https://connext.conti.de/blogs/tdalon/feed/entryrecommendations/fd48304c-c069-4417-bbc7-e4cb3a37c72c/atom?lang=en_us</t>
  </si>
  <si>
    <t>https://connext.conti.de/blogs/tdalon?tags=profile&amp;lang=en_us</t>
  </si>
  <si>
    <t>https://connext.conti.de/blogs/tdalon?tags=pivotchart&amp;lang=en_us</t>
  </si>
  <si>
    <t>https://connext.conti.de/blogs/tdalon?tags=power_bi&amp;lang=en_us</t>
  </si>
  <si>
    <t>https://connext.conti.de/blogs/tdalon?tags=get%26transform&amp;lang=en_us</t>
  </si>
  <si>
    <t>https://connext.conti.de/blogs/tdalon?tags=knowledge_broker&amp;lang=en_us</t>
  </si>
  <si>
    <t>https://connext.conti.de/blogs/tdalon?tags=tag&amp;lang=en_us</t>
  </si>
  <si>
    <t>https://connext.conti.de/blogs/tdalon/entry/connext_quick_mentions?lang=en_us</t>
  </si>
  <si>
    <t>https://connext.conti.de/blogs/tdalon/feed/entry/atom?entryid=46497e80-c976-456b-ae33-98a6c9b35ee3&amp;lang=en_us</t>
  </si>
  <si>
    <t>https://connext.conti.de/blogs/tdalon/feed/entrycomments/connext_quick_mentions/atom?lang=en_us</t>
  </si>
  <si>
    <t>https://connext.conti.de/blogs/home/api/reports/entries/46497e80-c976-456b-ae33-98a6c9b35ee3?lang=en_us</t>
  </si>
  <si>
    <t>https://connext.conti.de/blogs/tdalon/feed/entryrecommendations/46497e80-c976-456b-ae33-98a6c9b35ee3/atom?lang=en_us</t>
  </si>
  <si>
    <t>https://connext.conti.de/blogs/tdalon?tags=excel&amp;lang=en_us</t>
  </si>
  <si>
    <t>https://connext.conti.de/blogs/tdalon?tags=%40mention&amp;lang=en_us</t>
  </si>
  <si>
    <t>https://connext.conti.de/blogs/tdalon?tags=autohotkey&amp;lang=en_us</t>
  </si>
  <si>
    <t>https://connext.conti.de/blogs/tdalon/entry/ConNext_Tool_generate_table_of_users?lang=en_us</t>
  </si>
  <si>
    <t>https://connext.conti.de/blogs/tdalon/feed/entry/atom?entryid=fef92fbf-1c50-4a71-a68f-75fe323860a2&amp;lang=en_us</t>
  </si>
  <si>
    <t>https://connext.conti.de/blogs/tdalon/feed/entrycomments/ConNext_Tool_generate_table_of_users/atom?lang=en_us</t>
  </si>
  <si>
    <t>https://connext.conti.de/blogs/home/api/reports/entries/fef92fbf-1c50-4a71-a68f-75fe323860a2?lang=en_us</t>
  </si>
  <si>
    <t>https://connext.conti.de/blogs/tdalon/feed/entryrecommendations/fef92fbf-1c50-4a71-a68f-75fe323860a2/atom?lang=en_us</t>
  </si>
  <si>
    <t>https://connext.conti.de/blogs/tdalon?tags=tools&amp;lang=en_us</t>
  </si>
  <si>
    <t>https://connext.conti.de/blogs/tdalon?tags=picture&amp;lang=en_us</t>
  </si>
  <si>
    <t>https://connext.conti.de/blogs/tdalon/entry/ConNext_Tool_Export_emails_from_mentions?lang=en_us</t>
  </si>
  <si>
    <t>https://connext.conti.de/blogs/tdalon/feed/entry/atom?entryid=cd9bfa1f-d481-4d1a-84c8-ed58490fe9fe&amp;lang=en_us</t>
  </si>
  <si>
    <t>https://connext.conti.de/blogs/tdalon/feed/entrycomments/ConNext_Tool_Export_emails_from_mentions/atom?lang=en_us</t>
  </si>
  <si>
    <t>https://connext.conti.de/blogs/home/api/reports/entries/cd9bfa1f-d481-4d1a-84c8-ed58490fe9fe?lang=en_us</t>
  </si>
  <si>
    <t>https://connext.conti.de/blogs/tdalon/feed/entryrecommendations/cd9bfa1f-d481-4d1a-84c8-ed58490fe9fe/atom?lang=en_us</t>
  </si>
  <si>
    <t>https://connext.conti.de/blogs/tdalon?tags=email&amp;lang=en_us</t>
  </si>
  <si>
    <t>https://connext.conti.de/blogs/tdalon?tags=export&amp;lang=en_us</t>
  </si>
  <si>
    <t>https://connext.conti.de/blogs/tdalon/entry/connext_export_forum_to_excel?lang=en_us</t>
  </si>
  <si>
    <t>https://connext.conti.de/blogs/tdalon/feed/entry/atom?entryid=95f83fbb-2578-47d4-8d17-21028f5c6b8e&amp;lang=en_us</t>
  </si>
  <si>
    <t>https://connext.conti.de/blogs/tdalon/feed/entrycomments/connext_export_forum_to_excel/atom?lang=en_us</t>
  </si>
  <si>
    <t>https://connext.conti.de/blogs/home/api/reports/entries/95f83fbb-2578-47d4-8d17-21028f5c6b8e?lang=en_us</t>
  </si>
  <si>
    <t>https://connext.conti.de/blogs/tdalon/feed/entryrecommendations/95f83fbb-2578-47d4-8d17-21028f5c6b8e/atom?lang=en_us</t>
  </si>
  <si>
    <t>https://connext.conti.de/blogs/tdalon?tags=forum&amp;lang=en_us</t>
  </si>
  <si>
    <t>https://connext.conti.de/blogs/tdalon?tags=feed&amp;lang=en_us</t>
  </si>
  <si>
    <t>https://connext.conti.de/blogs/tdalon?tags=rest&amp;lang=en_us</t>
  </si>
  <si>
    <t>https://connext.conti.de/blogs/tdalon/entry/guide_powertool?lang=en_us</t>
  </si>
  <si>
    <t>https://connext.conti.de/blogs/tdalon/feed/entry/atom?entryid=db90a034-3ace-45c8-8bae-994699f9c439&amp;lang=en_us</t>
  </si>
  <si>
    <t>https://connext.conti.de/blogs/tdalon/feed/entrycomments/guide_powertool/atom?lang=en_us</t>
  </si>
  <si>
    <t>https://connext.conti.de/blogs/home/api/reports/entries/db90a034-3ace-45c8-8bae-994699f9c439?lang=en_us</t>
  </si>
  <si>
    <t>https://connext.conti.de/blogs/tdalon/feed/entryrecommendations/db90a034-3ace-45c8-8bae-994699f9c439/atom?lang=en_us</t>
  </si>
  <si>
    <t>https://connext.conti.de/blogs/tdalon?tags=search&amp;lang=en_us</t>
  </si>
  <si>
    <t>https://connext.conti.de/blogs/tdalon?tags=lotus_notes&amp;lang=en_us</t>
  </si>
  <si>
    <t>https://connext.conti.de/blogs/tdalon/entry/connext_expand_profile_picture_ahk?lang=en_us</t>
  </si>
  <si>
    <t>https://connext.conti.de/blogs/tdalon/feed/entry/atom?entryid=ff0a3336-3e47-478f-b304-307cdaa57ae9&amp;lang=en_us</t>
  </si>
  <si>
    <t>https://connext.conti.de/blogs/tdalon/feed/entrycomments/connext_expand_profile_picture_ahk/atom?lang=en_us</t>
  </si>
  <si>
    <t>https://connext.conti.de/blogs/home/api/reports/entries/ff0a3336-3e47-478f-b304-307cdaa57ae9?lang=en_us</t>
  </si>
  <si>
    <t>https://connext.conti.de/blogs/tdalon/feed/entryrecommendations/ff0a3336-3e47-478f-b304-307cdaa57ae9/atom?lang=en_us</t>
  </si>
  <si>
    <t>https://connext.conti.de/blogs/tdalon/entry/connext_grey_ghosts?lang=en_us</t>
  </si>
  <si>
    <t>https://connext.conti.de/blogs/tdalon/feed/entry/atom?entryid=008d9e5a-c56e-4f13-b1c2-570057ced92d&amp;lang=en_us</t>
  </si>
  <si>
    <t>https://connext.conti.de/blogs/tdalon/feed/entrycomments/connext_grey_ghosts/atom?lang=en_us</t>
  </si>
  <si>
    <t>https://connext.conti.de/blogs/home/api/reports/entries/008d9e5a-c56e-4f13-b1c2-570057ced92d?lang=en_us</t>
  </si>
  <si>
    <t>https://connext.conti.de/blogs/tdalon/feed/entryrecommendations/008d9e5a-c56e-4f13-b1c2-570057ced92d/atom?lang=en_us</t>
  </si>
  <si>
    <t>https://connext.conti.de/blogs/tdalon/entry/connext_export_attendees?lang=en_us</t>
  </si>
  <si>
    <t>https://connext.conti.de/blogs/tdalon/feed/entry/atom?entryid=0b4b807d-d2cb-4bb7-8297-d3005d087f52&amp;lang=en_us</t>
  </si>
  <si>
    <t>https://connext.conti.de/blogs/tdalon/feed/entrycomments/connext_export_attendees/atom?lang=en_us</t>
  </si>
  <si>
    <t>https://connext.conti.de/blogs/home/api/reports/entries/0b4b807d-d2cb-4bb7-8297-d3005d087f52?lang=en_us</t>
  </si>
  <si>
    <t>https://connext.conti.de/blogs/tdalon/feed/entryrecommendations/0b4b807d-d2cb-4bb7-8297-d3005d087f52/atom?lang=en_us</t>
  </si>
  <si>
    <t>https://connext.conti.de/blogs/tdalon?tags=event&amp;lang=en_us</t>
  </si>
  <si>
    <t>https://connext.conti.de/blogs/tdalon/entry/Excel_Formula_to_add_link_to_ConNext_Profile?lang=en_us</t>
  </si>
  <si>
    <t>https://connext.conti.de/blogs/tdalon/feed/entry/atom?entryid=1742fa79-0b8c-4225-9e07-07480b18f5f1&amp;lang=en_us</t>
  </si>
  <si>
    <t>https://connext.conti.de/blogs/tdalon/feed/entrycomments/Excel_Formula_to_add_link_to_ConNext_Profile/atom?lang=en_us</t>
  </si>
  <si>
    <t>https://connext.conti.de/blogs/home/api/reports/entries/1742fa79-0b8c-4225-9e07-07480b18f5f1?lang=en_us</t>
  </si>
  <si>
    <t>https://connext.conti.de/blogs/tdalon/feed/entryrecommendations/1742fa79-0b8c-4225-9e07-07480b18f5f1/atom?lang=en_us</t>
  </si>
  <si>
    <t>https://connext.conti.de/blogs/tdalon/entry/improved_excel_connext_profiles_export?lang=en_us</t>
  </si>
  <si>
    <t>https://connext.conti.de/blogs/tdalon/feed/entry/atom?entryid=41a8f89b-f491-4a6d-99ee-2870d74c9a08&amp;lang=en_us</t>
  </si>
  <si>
    <t>https://connext.conti.de/blogs/tdalon/feed/entrycomments/improved_excel_connext_profiles_export/atom?lang=en_us</t>
  </si>
  <si>
    <t>https://connext.conti.de/blogs/home/api/reports/entries/41a8f89b-f491-4a6d-99ee-2870d74c9a08?lang=en_us</t>
  </si>
  <si>
    <t>https://connext.conti.de/blogs/tdalon/feed/entryrecommendations/41a8f89b-f491-4a6d-99ee-2870d74c9a08/atom?lang=en_us</t>
  </si>
  <si>
    <t>https://connext.conti.de/blogs/tdalon/entry/connext_export_profile_search_email?lang=en_us</t>
  </si>
  <si>
    <t>https://connext.conti.de/blogs/tdalon/feed/entry/atom?entryid=b955195c-78dd-4ecc-a02a-62d753b9c5b2&amp;lang=en_us</t>
  </si>
  <si>
    <t>https://connext.conti.de/blogs/tdalon/feed/entrycomments/connext_export_profile_search_email/atom?lang=en_us</t>
  </si>
  <si>
    <t>https://connext.conti.de/blogs/home/api/reports/entries/b955195c-78dd-4ecc-a02a-62d753b9c5b2?lang=en_us</t>
  </si>
  <si>
    <t>https://connext.conti.de/blogs/tdalon/feed/entryrecommendations/b955195c-78dd-4ecc-a02a-62d753b9c5b2/atom?lang=en_us</t>
  </si>
  <si>
    <t>https://connext.conti.de/blogs/tdalon?tags=connext_suggestion&amp;lang=en_us</t>
  </si>
  <si>
    <t>#kb_teams</t>
  </si>
  <si>
    <t>https://connext.conti.de/search/web/search?scope=profiles&amp;pageSize={pageSize}&amp;page={page}&amp;constraint={"type":"category","values":["Tag/kb_teams"]}</t>
  </si>
  <si>
    <t>Example</t>
  </si>
  <si>
    <t>uid41890</t>
  </si>
  <si>
    <t>CN=Dalon Thierry (uid41890),OU=Users,OU=rbg1,OU=de,OU=lda,DC=cw01,DC=contiwan,DC=com</t>
  </si>
  <si>
    <t>empty</t>
  </si>
  <si>
    <t>uidNumber</t>
  </si>
  <si>
    <t>9/15/2020  7:36:13 AM</t>
  </si>
  <si>
    <t>Kempkes, Ansgar</t>
  </si>
  <si>
    <t>Schmidt, Thomas</t>
  </si>
  <si>
    <t>Dalon, Thierry</t>
  </si>
  <si>
    <t>Schirmer, Harald</t>
  </si>
  <si>
    <t>Preisinger, Stefanie (uidk9442)</t>
  </si>
  <si>
    <t>Siewert, Bernd</t>
  </si>
  <si>
    <t>Bernd.Siewert@continental-corporation.com</t>
  </si>
  <si>
    <t>245F43D07DF3D222C12573A60032237A</t>
  </si>
  <si>
    <t>#NOT_FOUND</t>
  </si>
  <si>
    <t> digital_guide,#de07,#dlap20,#guidepower,#networker,#o365adventcalendar,#tipoftheday,0365_guide,42,a3,adas,adas_agile_coe,advanced_driver_assistance_systems,agile,agile_coach,agility,agility_coach,asia,automotive,autosar,blind_spot_detection,bsd,bsm,c,callmebyfirstname,certified_safe_agilist,change_management,chassis_&amp;amp;_safety,chassis_and_safety,chassis&amp;safety,coachnet,coachnet_japan,code_review_expert,comm,connext,connext_guide,connext_guide_asia,connext_trainer,dgp,dgp19,diag,diagnostics,digital_5s,digital_guide,digital_transformation,dlap,dlap_facilitator,dlap19,dlap20,drbfm,duzbar,embedded_software,engineering,errh,excel,fdo,framework,function_delivery_owner,germany,gernperdu,getting_things_done,gocollabo,got,got1,got2,got3,got4,got5,got6,got7,gsf_be,gtd,guide,guide_asia,guide_community,guide_japan,guidepower,ims,j.guide,japan,japan_guide,japanese_language_skills,jira,kanban,kb_connext,kb_flow,kb_forms,kb_onedrive,kb_power_bi,kb_teams,km,knowledge_broker,knowledge_management,kwp2000,lead_guide,leadership,lessons_learned,linkedin,lotus_notes,mazda,mindmapping,mo_365,mo365,ms_excel,ms_forms,ms_onedrive,ms_planner,ms_powerpoint,ms_skype,ms_teams,ms_to-do,mso365,new_work_style,nissan,nws,nws_adventcalendar2019,nws_guide,nws_search_user,o365,o365_guide,o365adventcalendar,office_365,onedrive,passion_to_win,passion2learn,passion2share,phase_iv,planner,podcast,power_bi,powerbi,powerpoint,products,protocols,python,r&amp;d,radar,rcta,rear_cross_traffic_alert,requirements_engineering,review_expert,rge2018,role_model,rwth_aachen,sametime,scrum,skype_for_business,software,software_development,software_engineering,software_project_manager,srr220,srr220ma,srr220nn,srr220ta,srr320,sw_development,sw_functions,teams,to-do,tools,toyota,uds,vba,vector_canoe,vucarocker,wol,wol_circle_45,wol_participant,working_out_loud,workingoutloud,yokohama,yokoten</t>
  </si>
  <si>
    <t>#cccgomn,#dgp20,#dlap_success,#guide,#guidepower,#ms_teams,#new_work_slyle,#new_work_style,#passion2learn,#role_model,3.14,42,73,abs,ambassador,ams,asia,autonomous_mobility_and_safety,autonomous_mobility_and_safety_(ams),best_guide,blogging,callmebymyfirstname,cccgomn,cccgomon,cccogmn,change_management,chassis_and_safety,china,collaboration,connext,connext_trainer,culture_development,cveeaf,cveeafb,cveeafbc,dgp,dgp_finish,dgp_guide,dgp0,dgp1,dgp10,dgp11,dgp12,dgp13,dgp14,dgp19,dgp19_09,dgp19_9,dgp2,dgp20,dgp3,dgp4,dgp5,dgp6,dgp7,dgp8,dgp9,digital,digital_guide,digital_pioneer,digital_transformation,digital-guide,dlap,dlap_facilitator,dlap_success,dlap19,dlap20,duzbar,ebs,ebs_development,ebs_entwicklung,electrical,electrical_/_electronic_development,electronic_development,electronic_engineering,engineering,er2-2,er78,europe,for_one_another,freedom_to_act,germany,gernperdu,got5,guide,guide_event_rbg_1,guide_ingolstadt,guide_spirit,guide-in,guideland,guidepower,guidepower;,heroeswearmask,ingolstadt,kb_connext,kb_kaizala,kb_onedrive,kb_password_safe,kb_stream,kb_teams,km,knoweldge_broker,knowledge_broker,knowledge_broker;,knowledge_management,knowlege_broker,labview,lead_guide,learning_bite,learning_content_creation,learning_hero,let_ingolstadt,linkedin,logo,media_education,mentoring,microlearning,mk_100,mk_60,mk_70,mk_78,mo_365,mo365,mo365_guide,mo365;,moderator,ms_excel,ms_kaizala,ms_office_lens,ms_onedrive,ms_onenote,ms_outlook,ms_planner,ms_powerpoint,ms_sharepoint,ms_skype,ms_stream,ms_teams,ms_word,my_two_cents,nerds_of_conti,new_work_style,new_work_style;,new-work-style,newworkstyle,nws,nws_adventcalendar2019,nws_guide,nws_guis,o365,o365_sharepoint,o365adventcalendar,office_365,office_lens,office355,office365,office365_guide,onedrive,onenote,outlook,passion_to_win,passion2learn,password_safe,people_connector_user,pi,pi_handbuch,planner,powerpoint,presentation,project_engineer,project_managememt,project_management,projectmanagement,research_and_development,responsible,responsive,reverse_mentor,reverse_mentoring,rge2018,role_model,scrum_interested,sec_guide,shanghai,share_work_collaborate,sharepoint,sharepoint_online,sharepoint2go,skype,skype_for_business,social_media,stream,sunnysideup,tagging,tagging_is_important,teams,trust,ved,vehicle_dynamics,video,video_editing,vip_support,vucarocker,wevsvirusbarcampv1,wol,wol_circle_45,wol_curious,wol_participant,word,working_out_loud,you_are_not_alone</t>
  </si>
  <si>
    <t>agile,agile_mindset,ahk,ahk_user,ambassador,aspice,aspice_assessor,aspice_provisional_assessor,autohotkey,automotive_spice,b&amp;s,blogger,body_&amp;_security,callmebymyfirstname,camtasia,cft,chrome,coachnet,connext,connext_enhancer_user,crx,culture_development,dgp,dgp19,dgp19_23,digital_guide,digital_mindset,duzbar,excel,france,germany,gernperdu,got5,guide,guide_event_rgb_1,guidepower,hashtag_virus,ims,intacs,interior,jira,judo,kanban,kb_autohotkey,kb_chrome,kb_connext,kb_excel,kb_greenshot,kb_onenote,kb_outlook,kb_powerpoint,kb_sharepoint,kb_skype,kb_stream,kb_teams,kb_vba,knowledge_broker,let,let_regensburg,lunch_roulette_regensburg,matlab,mks_integrity,mo365,moderator,ms_onedrive,ms_onenote,ms_outlook,ms_sharepoint,ms_teams,network_culture,new_work_style,new_work_style_guide,nws,nws_guide,nws_powertool_user,nws_search_crx_user,nws_search_user,nws_social_support_moderator,o365,onedrive,onenote,outlook,outlook_vba_user,pact,passion2learn,powerpoint,powertool_user,process_management,product_owner,ptc_integrity,r&amp;d,regensburg,research_and_development,rge2018,scrum,scrum_product_owner,sharepoint,social_support,software,spice_provisional_assessor,tagging,teams,teamsy_user,test_automation,testing,twitter,vba,wol,working_out_loud</t>
  </si>
  <si>
    <t>#42,#42_new_work_style,#congenial,#esbeginntbeimir,#gge2014,#got1,#guide,#guideevent2012,#guidepower,#lof2020,#microlearning,#mo365,#new_hires,#passion2lead,#passion2learn,#passion2teach,0365,0365_guide,2015,2025ad,42,42_new_work_style_community,7lp,a_blogger,a_digital_hero,a_event_hero,a_mint,a_moderation,a_speaker,access,access_2000,aitc,almeida,altvr,ambassador,ambassador_program,ambassor_program,and,aof_event,aof_fair,aof_internal,aof_mentoring,aof_mint,aof_moderation,aof_online,aof_speaking,aof_stem,appreciation,ar_middle,ar_north,ar_south,artist,artist@conti,automation,autonomous_driving,award,b2b,b2c,bahn,bar_camp,barcamp,basf,basics,bildverarbeitung,bitkom,blab,blended_learning,blog,blogger,blogging,bluejeans,bosch,business_connect,business_networking,c.inside,call_me_joe,callmebymyfirstname,camtasia,can,cebit,cebit_2014,cebit_2015,change,change_agent,change_coaching,change_communication,change_management,change_manager,change_project,changemanagement,chassis_and_safety,chrd,chrdod,cloud,cloud_services,cm,coaching,coachnet,coachnet_founder,coachnet_germany,coachnetter,coe,collaboration,communication,communication_toolfinder,communications,communications_strategy,community_management,community_manager,community_manager_feedback_to_ibm,conference,connect,connext,connext_council,connext_expert,connext_guide,connext_project_team,connext-guide,consulting,contipedia,convention,corporate,corporate_functions,corporate_functions_award,corporate_human_resources_development,council,creating_movements,cross_shadowing,crowd_funding,crowd_sourcing,culture,culture_development,database,datenbank,delve,design_thinking,development,dgfp_congress,dgp19,digimat,digital,digital_communication,digital_hero,digital_leadership,digital_mindset,digital_native,digital_role_model,digital_trans,digital_transformation,digital-transformation,digitale,digitalisierung,digitalization,diversity,dlap,dlap_facilitator,dlap_success,dlap19,dlap20,document_management,dokuwiki,dornoff,e-sign,e20,e20_summit,e20s,ebs_wiki,education,efficient_communication,ehrc,ehrc15,ehrc2014,ehrc2015,einfachmachen,elearning,electronic_engineering,elisa,elternzeit,emarketing,emotion,engagement_campaign,engineering,enterprise20,enthusiast,eport,esbeginntbeimir,europe,events,exas,excel,excellence,facebook,facetime,facilitator,festo,fishbowl,flexibility,flicker,flickr,flow_,for_one_another,forms_,forum,fotografie,fotographie,fraunhofer,free_radical,freedom_to_act,friendly,funding,future_conference,future_work,future_workplace,gamification,german,germany,germany_connection,gerneperdu,gernperdu,getting_things_done,gge2014,ghrc14,ghrc15,ghrc17,ghrc2012,ghrc2013,ghrc2016,ghrp,glassdoor,godigital,got,got#5,got1,got2,got3,got4,got5,got6,got7,gre2013,great_people_culture,groups,growth_mindset,gtd,gtin14,gtsp14,guide_365,guide_community,guide_connext,guide_event_rbg_1,guide_germany,guide_mentor,guide_network,guide_partnership,guide_pro,guide_trainer,guide365,guidepower,guides,hackathon,hannover,hanover,hanover_vahrenwald,harald,hashtag_virus,holacracy,home_office,homeoffice,hr,hr_communications,hr_corporate_functions,hr_excellence,hr_guide,hrac15,hrd,hrd_manager,hrea2013,html_-_programmierung,html_-_programming,human,human_relations,human_relations_corporate_functions,human_relations_management,human_resource_development,human_resources,human_resources_corporate_functions,human_resources_management,humanrelations,iaa15,iao,ibm,ice,infograph,information_market,information_structures,information_technology,ingolstadt,innovation,innovation_management_,inspiration,internet,intranet,iom_summit,ios4,ipad,iphone,isb,jobswap,kanban,kb_connext,kb_delve,kb_flow,kb_onedrive,kb_onenote,kb_powerautomate,kb_sharepoint,kb_skype,kb_stream,kb_teams,kb_word,keynote,keynote_speaker,kind-hearted,km,know,knowledge_broker,knowledge_exchange,knowledge_management,knowledge_network_concept,knowledge_sharing,knowtech,kotter,kununu,landing,leader,leadership,leadership_&amp;_organizational_development,leadguide,leading_change,leading_transformation,lean,learning_bite,learning_bites,learning_content_creation,lego_serious_play,lernos,lessons_learned,let_core_team,lida_award,lida_award_winner,linkedin,live_blogging,ll,london,lsp,mac_os,mail,mammoudi,mamoudi,management,manager,mediawiki,mentimenter,mentoring,microblog,microlearningmaster,microsoft,mindmapping,mintmap,mission,mo_365,mo365,moderation,motivation,mozilla_hubs,ms_access,ms_forms,ms_groups,ms_office_lens,ms_office_package,ms_office_produktpalette,ms_outlook,ms_powerapps,ms_powerpoint,ms_skype,ms_sway,ms_to-do,ms_visio,ms_word,multicultural,mywof,ncw,network_culture,networker,networking,new_wok_style,new_work_style_guide,new-work-style,newwork,newworkstyle,o365,o365_guide,ocm,od,odeb,office_365,office_lens,office365,office365_guide,one_note,onedrive,onenote,online,openness,organisational_change_management,organizational_change_management,organizational_development,organizational-development,our_basics,our_basics_award,our_basics_award_2014_winner,our_basics_employee_ws,outlook,page,part_time,passion,passion_to_win,passion2learn,passion2share,passion2win,people,personalentwicklung,pfo,photography,pictures,pinterest,planner,pleassure,pm,pm_2.0,pm_convention_2015,podcast,podcaster,polite,powerapps,powerpoint,presentation,presentation_skills,presenter,process_family_owner,project,project_lead,project_leader,put,quickbook,quickbooks,quickhelp,quickhhelp,quickplace,quickr,quickx,regensburg,relation,relations,resources,rge2018,role_model,sametime_advanced,sao_paulo,schirmer,scrum,sec_2012,sharepoint,show,sketch_noting,sketching,sketchnote,sketchnoting,skype_for_business,slack,slideshare,slido,smart,smarter_workstyle,snapchat,social_helpdesk,social_media,speaker,ssps15,st_gallen,stakeholder_analysis,stem,storify,stream,sturgeon_leader,survey_engine,sway,switzerland,systems,tag,tagging,task,teams,temic,template,thaichi,tire,tmod,to-do,tool,toolfinder,tpm_audit_asia,trainer,training,transformation,transport,trello,trend_scouting,trust,ttc,ttkf_authoring,tu_darmstadt,twitter,u_gallen,uerey,uni_st_gallen,usa,values,vbl,veränderungsmanagement,veranstaltungen,vertrauen,very_nice_person,video_conferencing,video_editing,videos,vimeo,virtual,virtual_conference,virtual_meeting,virtual_reality,virtual_team,virtual_teams,visio,visionary,visual_thinking,vr,vuca,vucarocker,wandel,web,web_2.0,web_design,web_development,web20,webdesign,webinar,webseite,website,wechat,wegbereiter,wegbereiter_ev,whatsapp,wiki,wikipedia,wissensmanagement,wof,wol,wol_manifesto,word,work_out_loud,working_out_loud,workoutloud,workplace_of_the_future,workshop_moderator,xing,yammer,yokoten,youtube,网红</t>
  </si>
  <si>
    <t>#best_christmas_card,#guidepower,#microlearning,#ms_teams,#new_work_style,#passion2learn,#ww48,business_development,business-development,bwl,cccgomn,change_agent,change_management,coaching,collaboration,communcation,communication,communications,community,community_management,community_manager,community-manager,connext,content_marketing,culture_change,customer_strategy,dgp,dgp_19,dgp_20,dgp_finish,dgp#5,dgp0,dgp1,dgp10,dgp11,dgp12,dgp13,dgp14,dgp19,dgp19_2,dgp2,dgp20,dgp3,dgp4,dgp5,dgp6,dgp7,dgp8,dgp9,digital,digital_guide,digital_marketing,digital_role_model,digital_tranformation,digital_transformation,digital-guide,digital-transformation,diversity,elearning,europe,evergreen,for_one_another,forms,freedom_to_act,fupat,future_of_work,germany,global_disrupters,global_disruptors,got1,got2,got3,got4,got5,got6,got7,guide,guide_365,guide_event_rbg_1,guide365,guidepower,hannover,hanover,hashtag_virus,hellofromaachen,hiking,hr,internal_communication,internal_communications,kb,kb_connext,kb_forms,kb_teams,knowledge_broker,knowledge_broker;,lead_guide,leader,leading_change,learninggroup9,let,let_hannover,let_hannover_vva,living_guide,local_evergreen_team,manager,marketing,master,microsoft_office_project,mindfulness,mindset,mo_365,mo-365,mo365,mo365;,mobility_service,moderation,motivation,ms_forms,ms_onedrive,ms_onenote,ms_outlook,ms_powerpoint,ms_sharepoint,ms_teams,ms_word,mso365,nerds_of_conti,network_culture,networker,networking,new_work,new_work_out,new_work_stlye,new_work_style,new_work_style;,new_work_style;cccgomn;,new-werk-style,new-work-style,newworkstyleguide,niederbayern,nws,nws_guide,nws42,o365,o365_sharepoint,office_365,office365,onenote,open_for_international_assignments,ortenburg,oth_regensburg,outlook,passion,passion_to_win,passion2learn,powerpoint,quality_champion,regensburg,regensburg_marathon,rge2018,role_model,running,s&amp;a,share,sharepoint,sharepoint2go,sharepoint2gp,social_media,spanish_language_skills,strategy_and_processes;,tagging,team,teams,teamspirit,tmod,tmod_&amp;_hr_com,tmod_corporate,trust,very_nice_person,vucarocker,vva.connects,we_regensburg,woman_excellence,word</t>
  </si>
  <si>
    <t>;,#42,#gernperdu,#guidepower,#mo-365,#ms_teams,#new_work_style,#nws,#o365,#office_365,#ww48,2.0,365,absolute_pressure_sensors,ambassador,ambassador_vitesco_technologies,anpqp,apm,architect,asic_development,automotive,bavaria,best_practice,blogging,bouldern,break_booster_pressure_sensor,calibration,calibration_sensors,changchun,change_management,china,china_automotive_market,china_changchun,coaching,coachnet,coachnetter,coburg,collaboration,collaboration_tools,communities_connext,community_manager,community_moderator,connext,cool,culture_development,dalsa,data_wrangling,decathlon,developement,developer,dgp,dgp19,dgp20,differential_pressure_sensor,digital,digital_controlling,digital_guide,digital_native,digital_tranformation,digital_transformation,digital_transformation_manager,duzbar,edi_renault,electrical_/_electronic_development,electronic_development,electronic_engineering,engineering,english,english_language_skills,europe,fh_coburg,findtime,for_one_another,generic_development,generic_engineering,german,germany,gernperdu,getting_things_done,gocrossdigital,gtd,guide,guide_community,guide_event_rbg_1,guide_event_rgb_1,guidepower,handball,hardware_architecture,hardware_development,headofawesome,high_pressure_sensor,hyundai,ignite,ipass,isuzu,jabra,jabra_evolve,jabra_speak,japan,japanese_oems,kb_connext,kb_flow,kb_planner,kb_teams,kb_todo,knime,knime_report,knowledge_broker,l.e.a.n.,labview,labview_architecture,labview_key_user,lead_guide,lean,learning_bite,lotus_notes,low_code_applications,management,master_of_voodoo,mechanical_engineering,melexis,mems,mems_experience,mems_process,mems_technologie,mems_technology,mentor,mentoring,mitsubishi,mixed_signal_asic,mixed_signal_ic_design,mo_365,mo-365,mo365,mo365_guide,ms_findtime,ms_flow,ms_office_lens,ms_onedrive,ms_onenote,ms_outlook,ms_planner,ms_powerbi,ms_powerpoint,ms_project,ms_sharepoint,ms_skype,ms_stream,ms_teams,ms_to-do,ms_word,nerds_of_conti,new_work_style,new-work-style,nissan,notes,ntc,nws,nws_guide,nws_social_support_moderator,o365,object_orientated_sw,office,office_365,office_lens,office365,onedrive,onenote,organizational_coordinator,ospi_experience,outlook,passion2learn,passion2share,physikalische_technik,planner,pm,pm_2.0,pm2.0,powerbi,powerpoint,powertrain,pressure_sensors,project,project_managememt,project_management,project_management_,project_management_2.0,project_management),project-management,projectmanagement,r&amp;d,regensburg,renault,research_and_development,rge2018,s&amp;a,senior_project_manager,sensor_and_actuators,sensor_calibration,sensor_communication,sensor_design_expert,sensors_and_actuators,sent,sent_experience,sent_sensors,sgm,sgmw,sharepoint,skype_for_business,snowboarden,social,social_media,stream,surfing,sw_architecture,synerject,system_development,system_engineering_,tagging,teams,to-do,toyota,transformation,twitter,uas_coburg,volleyball,volvo,vr,vucarocker,wois,wol,wol_facilitator,wol_participant,word,working_out_loud,workingoutloud,zehnkampf</t>
  </si>
  <si>
    <t>kb_connext,kb_flow,kb_forms,kb_onedrive,kb_power_bi,kb_teams</t>
  </si>
  <si>
    <t>kb_connext,kb_kaizala,kb_onedrive,kb_password_safe,kb_stream,kb_teams</t>
  </si>
  <si>
    <t>kb_autohotkey,kb_chrome,kb_connext,kb_excel,kb_greenshot,kb_onenote,kb_outlook,kb_powerpoint,kb_sharepoint,kb_skype,kb_stream,kb_teams,kb_vba</t>
  </si>
  <si>
    <t>kb_connext,kb_delve,kb_flow,kb_onedrive,kb_onenote,kb_powerautomate,kb_sharepoint,kb_skype,kb_stream,kb_teams,kb_word</t>
  </si>
  <si>
    <t>kb_connext,kb_forms,kb_teams</t>
  </si>
  <si>
    <t>kb_connext,kb_flow,kb_planner,kb_teams,kb_todo</t>
  </si>
  <si>
    <t>Thierry</t>
  </si>
  <si>
    <t>Dalon Thierry (uid41890)</t>
  </si>
  <si>
    <t>Thierry.Dalon@continental-corporation.com</t>
  </si>
  <si>
    <t>uid41890@contiwan.com</t>
  </si>
  <si>
    <t>Dalon</t>
  </si>
  <si>
    <t>Email</t>
  </si>
  <si>
    <t xml:space="preserve">https://docs.bmc.com/docs/fpsc121/ldap-attributes-and-associated-fields-495323340.html </t>
  </si>
  <si>
    <t>Full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</si>
</sst>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1"/>
      <color rgb="FF000000"/>
      <name val="Calibri"/>
      <family val="2"/>
    </font>
    <font>
      <sz val="9"/>
      <color indexed="81"/>
      <name val="Tahoma"/>
      <family val="2"/>
    </font>
    <font>
      <b/>
      <sz val="9"/>
      <color indexed="81"/>
      <name val="Tahoma"/>
      <family val="2"/>
    </font>
    <font>
      <sz val="11"/>
      <color rgb="FF000000"/>
      <name val="Calibri"/>
      <family val="2"/>
    </font>
    <font>
      <sz val="11"/>
      <color theme="1"/>
      <name val="Calibri"/>
      <family val="2"/>
    </font>
    <font>
      <sz val="11"/>
      <color rgb="FF2F4F4F"/>
      <name val="Calibri"/>
      <family val="2"/>
    </font>
    <font>
      <b/>
      <sz val="11"/>
      <color rgb="FF2F4F4F"/>
      <name val="Calibri"/>
      <family val="2"/>
    </font>
    <font>
      <sz val="11"/>
      <color theme="1" tint="0.499984740745262"/>
      <name val="Calibri"/>
      <family val="2"/>
      <scheme val="minor"/>
    </font>
    <font>
      <sz val="10"/>
      <color rgb="FF000000"/>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41">
    <xf numFmtId="0" fontId="0" fillId="0" borderId="0" xfId="0"/>
    <xf numFmtId="0" fontId="18" fillId="0" borderId="0" xfId="42"/>
    <xf numFmtId="0" fontId="18" fillId="0" borderId="0" xfId="42" applyAlignment="1">
      <alignment horizontal="center"/>
    </xf>
    <xf numFmtId="0" fontId="0" fillId="0" borderId="0" xfId="0" applyAlignment="1">
      <alignment horizontal="center"/>
    </xf>
    <xf numFmtId="0" fontId="18" fillId="0" borderId="0" xfId="42" applyNumberFormat="1" applyAlignment="1">
      <alignment horizontal="center"/>
    </xf>
    <xf numFmtId="49" fontId="0" fillId="0" borderId="0" xfId="0" applyNumberFormat="1"/>
    <xf numFmtId="11" fontId="0" fillId="0" borderId="0" xfId="0" applyNumberFormat="1"/>
    <xf numFmtId="0" fontId="0" fillId="0" borderId="0" xfId="0" applyNumberFormat="1"/>
    <xf numFmtId="49" fontId="18" fillId="34" borderId="0" xfId="42" applyNumberFormat="1" applyFill="1"/>
    <xf numFmtId="0" fontId="23" fillId="0" borderId="0" xfId="0" applyFont="1"/>
    <xf numFmtId="0" fontId="24" fillId="0" borderId="10" xfId="0" applyFont="1" applyFill="1" applyBorder="1" applyAlignment="1">
      <alignment horizontal="left" wrapText="1"/>
    </xf>
    <xf numFmtId="0" fontId="16" fillId="0" borderId="0" xfId="0" applyFont="1"/>
    <xf numFmtId="0" fontId="11" fillId="6" borderId="4" xfId="11"/>
    <xf numFmtId="0" fontId="11" fillId="6" borderId="4" xfId="11" applyAlignment="1">
      <alignment horizontal="center"/>
    </xf>
    <xf numFmtId="0" fontId="0" fillId="35" borderId="0" xfId="0" applyFill="1"/>
    <xf numFmtId="0" fontId="26" fillId="0" borderId="0" xfId="0" applyFont="1"/>
    <xf numFmtId="1" fontId="0" fillId="0" borderId="0" xfId="0" applyNumberFormat="1"/>
    <xf numFmtId="0" fontId="0" fillId="0" borderId="0" xfId="0" applyAlignment="1">
      <alignment wrapText="1"/>
    </xf>
    <xf numFmtId="0" fontId="0" fillId="36" borderId="0" xfId="0" applyFill="1"/>
    <xf numFmtId="0" fontId="8" fillId="4" borderId="4" xfId="8" applyBorder="1" applyAlignment="1">
      <alignment horizontal="center"/>
    </xf>
    <xf numFmtId="0" fontId="8" fillId="4" borderId="0" xfId="8" applyBorder="1" applyAlignment="1">
      <alignment horizontal="center"/>
    </xf>
    <xf numFmtId="0" fontId="0" fillId="0" borderId="0" xfId="0" applyNumberFormat="1" applyAlignment="1">
      <alignment horizontal="center"/>
    </xf>
    <xf numFmtId="0" fontId="0" fillId="0" borderId="0" xfId="0" quotePrefix="1"/>
    <xf numFmtId="0" fontId="0" fillId="0" borderId="0" xfId="0" applyAlignment="1">
      <alignment horizontal="left"/>
    </xf>
    <xf numFmtId="0" fontId="8" fillId="4" borderId="0" xfId="8" applyBorder="1" applyAlignment="1">
      <alignment horizontal="left"/>
    </xf>
    <xf numFmtId="0" fontId="0" fillId="0" borderId="0" xfId="0" applyNumberFormat="1" applyAlignment="1">
      <alignment horizontal="left"/>
    </xf>
    <xf numFmtId="0" fontId="0" fillId="0" borderId="0" xfId="0" pivotButton="1"/>
    <xf numFmtId="0" fontId="0" fillId="0" borderId="0" xfId="0" applyFill="1"/>
    <xf numFmtId="0" fontId="24" fillId="0" borderId="11" xfId="0" applyFont="1" applyFill="1" applyBorder="1" applyAlignment="1">
      <alignment horizontal="left" wrapText="1"/>
    </xf>
    <xf numFmtId="0" fontId="24" fillId="0" borderId="12" xfId="0" applyFont="1" applyFill="1" applyBorder="1" applyAlignment="1">
      <alignment horizontal="left" wrapText="1"/>
    </xf>
    <xf numFmtId="0" fontId="25" fillId="33" borderId="13" xfId="0" applyFont="1" applyFill="1" applyBorder="1" applyAlignment="1">
      <alignment horizontal="left" wrapText="1"/>
    </xf>
    <xf numFmtId="0" fontId="25" fillId="33" borderId="14" xfId="0" applyFont="1" applyFill="1" applyBorder="1" applyAlignment="1">
      <alignment horizontal="left" wrapText="1"/>
    </xf>
    <xf numFmtId="0" fontId="25" fillId="33" borderId="15" xfId="0" applyFont="1" applyFill="1" applyBorder="1" applyAlignment="1">
      <alignment horizontal="left" wrapText="1"/>
    </xf>
    <xf numFmtId="0" fontId="24" fillId="0" borderId="16" xfId="0" applyFont="1" applyFill="1" applyBorder="1" applyAlignment="1">
      <alignment horizontal="left" wrapText="1"/>
    </xf>
    <xf numFmtId="0" fontId="24" fillId="0" borderId="17" xfId="0" applyFont="1" applyFill="1" applyBorder="1" applyAlignment="1">
      <alignment horizontal="left" wrapText="1"/>
    </xf>
    <xf numFmtId="0" fontId="24" fillId="0" borderId="18" xfId="0" applyFont="1" applyFill="1" applyBorder="1" applyAlignment="1">
      <alignment horizontal="left" wrapText="1"/>
    </xf>
    <xf numFmtId="0" fontId="24" fillId="0" borderId="14" xfId="0" applyFont="1" applyFill="1" applyBorder="1" applyAlignment="1">
      <alignment horizontal="left" wrapText="1"/>
    </xf>
    <xf numFmtId="0" fontId="18" fillId="0" borderId="10" xfId="42" applyFill="1" applyBorder="1" applyAlignment="1">
      <alignment horizontal="left" wrapText="1"/>
    </xf>
    <xf numFmtId="0" fontId="27" fillId="0" borderId="0" xfId="0" applyFont="1"/>
    <xf numFmtId="0" fontId="25" fillId="0" borderId="10" xfId="0" applyFont="1" applyFill="1" applyBorder="1" applyAlignment="1">
      <alignment horizontal="left" wrapText="1"/>
    </xf>
    <xf numFmtId="0" fontId="25" fillId="0" borderId="17" xfId="0" applyFont="1" applyFill="1" applyBorder="1" applyAlignment="1">
      <alignment horizontal="lef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1">
    <dxf>
      <font>
        <b val="0"/>
        <i val="0"/>
        <strike val="0"/>
        <condense val="0"/>
        <extend val="0"/>
        <outline val="0"/>
        <shadow val="0"/>
        <u val="none"/>
        <vertAlign val="baseline"/>
        <sz val="11"/>
        <color rgb="FF2F4F4F"/>
        <name val="Calibri"/>
        <family val="2"/>
        <scheme val="none"/>
      </font>
      <fill>
        <patternFill patternType="none">
          <fgColor indexed="64"/>
          <bgColor indexed="65"/>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2F4F4F"/>
        <name val="Calibri"/>
        <family val="2"/>
        <scheme val="none"/>
      </font>
      <fill>
        <patternFill patternType="none">
          <fgColor indexed="64"/>
          <bgColor indexed="65"/>
        </patternFill>
      </fill>
      <alignment horizontal="left"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i val="0"/>
        <strike val="0"/>
        <condense val="0"/>
        <extend val="0"/>
        <outline val="0"/>
        <shadow val="0"/>
        <u val="none"/>
        <vertAlign val="baseline"/>
        <sz val="11"/>
        <color rgb="FF2F4F4F"/>
        <name val="Calibri"/>
        <family val="2"/>
        <scheme val="none"/>
      </font>
      <fill>
        <patternFill patternType="none">
          <fgColor indexed="64"/>
          <bgColor indexed="65"/>
        </patternFill>
      </fill>
      <alignment horizontal="lef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2F4F4F"/>
        <name val="Calibri"/>
        <family val="2"/>
        <scheme val="none"/>
      </font>
      <fill>
        <patternFill patternType="none">
          <fgColor indexed="64"/>
          <bgColor indexed="65"/>
        </patternFill>
      </fill>
      <alignment horizontal="left" vertical="bottom"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rgb="FF2F4F4F"/>
        <name val="Calibri"/>
        <family val="2"/>
        <scheme val="none"/>
      </font>
      <fill>
        <patternFill patternType="none">
          <fgColor indexed="64"/>
          <bgColor indexed="65"/>
        </patternFill>
      </fill>
      <alignment horizontal="left"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2F4F4F"/>
        <name val="Calibri"/>
        <family val="2"/>
        <scheme val="none"/>
      </font>
      <fill>
        <patternFill patternType="none">
          <fgColor indexed="64"/>
          <bgColor indexed="65"/>
        </patternFill>
      </fill>
      <alignment horizontal="left"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2F4F4F"/>
        <name val="Calibri"/>
        <family val="2"/>
        <scheme val="none"/>
      </font>
      <fill>
        <patternFill patternType="none">
          <fgColor indexed="64"/>
          <bgColor indexed="65"/>
        </patternFill>
      </fill>
      <alignment horizontal="left" vertical="bottom" textRotation="0" wrapText="1" indent="0" justifyLastLine="0" shrinkToFit="0" readingOrder="0"/>
    </dxf>
    <dxf>
      <border outline="0">
        <bottom style="thin">
          <color rgb="FF000000"/>
        </bottom>
      </border>
    </dxf>
    <dxf>
      <font>
        <b/>
        <i val="0"/>
        <strike val="0"/>
        <condense val="0"/>
        <extend val="0"/>
        <outline val="0"/>
        <shadow val="0"/>
        <u val="none"/>
        <vertAlign val="baseline"/>
        <sz val="11"/>
        <color rgb="FF2F4F4F"/>
        <name val="Calibri"/>
        <family val="2"/>
        <scheme val="none"/>
      </font>
      <fill>
        <patternFill patternType="solid">
          <fgColor indexed="64"/>
          <bgColor theme="7"/>
        </patternFill>
      </fill>
      <alignment horizontal="left" vertical="bottom" textRotation="0" wrapText="1" indent="0" justifyLastLine="0" shrinkToFit="0" readingOrder="0"/>
      <border diagonalUp="0" diagonalDown="0" outline="0">
        <left style="thin">
          <color rgb="FF000000"/>
        </left>
        <right style="thin">
          <color rgb="FF000000"/>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[GUIDE_PowerTool.xlsm]Charts!PivotTable2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Charts!$B$3</c:f>
              <c:strCache>
                <c:ptCount val="1"/>
                <c:pt idx="0">
                  <c:v>Total</c:v>
                </c:pt>
              </c:strCache>
            </c:strRef>
          </c:tx>
          <c:spPr>
            <a:solidFill>
              <a:schemeClr val="accent1"/>
            </a:solidFill>
            <a:ln>
              <a:noFill/>
            </a:ln>
            <a:effectLst/>
          </c:spPr>
          <c:invertIfNegative val="0"/>
          <c:cat>
            <c:strRef>
              <c:f>Charts!$A$4:$A$5</c:f>
              <c:strCache>
                <c:ptCount val="1"/>
                <c:pt idx="0">
                  <c:v>(blank)</c:v>
                </c:pt>
              </c:strCache>
            </c:strRef>
          </c:cat>
          <c:val>
            <c:numRef>
              <c:f>Charts!$B$4:$B$5</c:f>
              <c:numCache>
                <c:formatCode>General</c:formatCode>
                <c:ptCount val="1"/>
              </c:numCache>
            </c:numRef>
          </c:val>
          <c:extLst>
            <c:ext xmlns:c16="http://schemas.microsoft.com/office/drawing/2014/chart" uri="{C3380CC4-5D6E-409C-BE32-E72D297353CC}">
              <c16:uniqueId val="{00000000-46D8-4AE7-85FC-E2733DC7E861}"/>
            </c:ext>
          </c:extLst>
        </c:ser>
        <c:dLbls>
          <c:showLegendKey val="0"/>
          <c:showVal val="0"/>
          <c:showCatName val="0"/>
          <c:showSerName val="0"/>
          <c:showPercent val="0"/>
          <c:showBubbleSize val="0"/>
        </c:dLbls>
        <c:gapWidth val="219"/>
        <c:axId val="900489256"/>
        <c:axId val="900489584"/>
      </c:barChart>
      <c:catAx>
        <c:axId val="900489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89584"/>
        <c:crosses val="autoZero"/>
        <c:auto val="1"/>
        <c:lblAlgn val="ctr"/>
        <c:lblOffset val="100"/>
        <c:noMultiLvlLbl val="0"/>
      </c:catAx>
      <c:valAx>
        <c:axId val="900489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89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[GUIDE_PowerTool.xlsm]Charts!PivotTable2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Charts!$B$3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EB-43FE-830B-BC5315C767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DEB-43FE-830B-BC5315C767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DEB-43FE-830B-BC5315C767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DEB-43FE-830B-BC5315C767A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DEB-43FE-830B-BC5315C767A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DEB-43FE-830B-BC5315C767A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DEB-43FE-830B-BC5315C767A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DEB-43FE-830B-BC5315C767A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DEB-43FE-830B-BC5315C767A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DEB-43FE-830B-BC5315C767A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DEB-43FE-830B-BC5315C767A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DEB-43FE-830B-BC5315C767A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DEB-43FE-830B-BC5315C767A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DEB-43FE-830B-BC5315C767A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DEB-43FE-830B-BC5315C767A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DEB-43FE-830B-BC5315C767A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DEB-43FE-830B-BC5315C767A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DEB-43FE-830B-BC5315C767A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DEB-43FE-830B-BC5315C767A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DEB-43FE-830B-BC5315C767A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9260-4CAC-ADEC-570759B2AD3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9260-4CAC-ADEC-570759B2AD32}"/>
              </c:ext>
            </c:extLst>
          </c:dPt>
          <c:cat>
            <c:strRef>
              <c:f>Charts!$A$4:$A$5</c:f>
              <c:strCache>
                <c:ptCount val="1"/>
                <c:pt idx="0">
                  <c:v>(blank)</c:v>
                </c:pt>
              </c:strCache>
            </c:strRef>
          </c:cat>
          <c:val>
            <c:numRef>
              <c:f>Charts!$B$4:$B$5</c:f>
              <c:numCache>
                <c:formatCode>General</c:formatCode>
                <c:ptCount val="1"/>
              </c:numCache>
            </c:numRef>
          </c:val>
          <c:extLst>
            <c:ext xmlns:c16="http://schemas.microsoft.com/office/drawing/2014/chart" uri="{C3380CC4-5D6E-409C-BE32-E72D297353CC}">
              <c16:uniqueId val="{00000000-4EA5-4653-BF53-541556AD2DE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312420</xdr:colOff>
      <xdr:row>3</xdr:row>
      <xdr:rowOff>148590</xdr:rowOff>
    </xdr:from>
    <xdr:to>
      <xdr:col>11</xdr:col>
      <xdr:colOff>7620</xdr:colOff>
      <xdr:row>18</xdr:row>
      <xdr:rowOff>148590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259080</xdr:colOff>
      <xdr:row>19</xdr:row>
      <xdr:rowOff>80010</xdr:rowOff>
    </xdr:from>
    <xdr:to>
      <xdr:col>10</xdr:col>
      <xdr:colOff>563880</xdr:colOff>
      <xdr:row>34</xdr:row>
      <xdr:rowOff>80010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415290</xdr:colOff>
      <xdr:row>12</xdr:row>
      <xdr:rowOff>76200</xdr:rowOff>
    </xdr:from>
    <xdr:to>
      <xdr:col>10</xdr:col>
      <xdr:colOff>506730</xdr:colOff>
      <xdr:row>25</xdr:row>
      <xdr:rowOff>165735</xdr:rowOff>
    </xdr:to>
    <mc:AlternateContent xmlns:mc="http://schemas.openxmlformats.org/markup-compatibility/2006" xmlns:sle15="http://schemas.microsoft.com/office/drawing/2012/slicer">
      <mc:Choice Requires="sle15">
        <xdr:graphicFrame macro="">
          <xdr:nvGraphicFramePr>
            <xdr:cNvPr id="2" name="Country">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057900" y="2087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842010</xdr:colOff>
      <xdr:row>12</xdr:row>
      <xdr:rowOff>68580</xdr:rowOff>
    </xdr:from>
    <xdr:to>
      <xdr:col>13</xdr:col>
      <xdr:colOff>542925</xdr:colOff>
      <xdr:row>25</xdr:row>
      <xdr:rowOff>158115</xdr:rowOff>
    </xdr:to>
    <mc:AlternateContent xmlns:mc="http://schemas.openxmlformats.org/markup-compatibility/2006" xmlns:sle15="http://schemas.microsoft.com/office/drawing/2012/slicer">
      <mc:Choice Requires="sle15">
        <xdr:graphicFrame macro="">
          <xdr:nvGraphicFramePr>
            <xdr:cNvPr id="3" name="Filtered Tags">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Filtered Tags"/>
            </a:graphicData>
          </a:graphic>
        </xdr:graphicFrame>
      </mc:Choice>
      <mc:Fallback xmlns="">
        <xdr:sp macro="" textlink="">
          <xdr:nvSpPr>
            <xdr:cNvPr id="0" name=""/>
            <xdr:cNvSpPr>
              <a:spLocks noTextEdit="1"/>
            </xdr:cNvSpPr>
          </xdr:nvSpPr>
          <xdr:spPr>
            <a:xfrm>
              <a:off x="8221980" y="20802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0</xdr:col>
          <xdr:colOff>561975</xdr:colOff>
          <xdr:row>2</xdr:row>
          <xdr:rowOff>47625</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38100</xdr:rowOff>
        </xdr:from>
        <xdr:to>
          <xdr:col>0</xdr:col>
          <xdr:colOff>561975</xdr:colOff>
          <xdr:row>2</xdr:row>
          <xdr:rowOff>76200</xdr:rowOff>
        </xdr:to>
        <xdr:sp macro="" textlink="">
          <xdr:nvSpPr>
            <xdr:cNvPr id="2049" name="Button 1" descr="Run Export ConNext Profiles based on search query."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38100</xdr:rowOff>
        </xdr:from>
        <xdr:to>
          <xdr:col>0</xdr:col>
          <xdr:colOff>561975</xdr:colOff>
          <xdr:row>2</xdr:row>
          <xdr:rowOff>76200</xdr:rowOff>
        </xdr:to>
        <xdr:sp macro="" textlink="">
          <xdr:nvSpPr>
            <xdr:cNvPr id="13313" name="Button 1" descr="Run Export ConNext Profiles based on search query."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38100</xdr:rowOff>
        </xdr:from>
        <xdr:to>
          <xdr:col>0</xdr:col>
          <xdr:colOff>561975</xdr:colOff>
          <xdr:row>2</xdr:row>
          <xdr:rowOff>76200</xdr:rowOff>
        </xdr:to>
        <xdr:sp macro="" textlink="">
          <xdr:nvSpPr>
            <xdr:cNvPr id="51201" name="Button 1" descr="Run Export ConNext Profiles based on search query."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38100</xdr:rowOff>
        </xdr:from>
        <xdr:to>
          <xdr:col>0</xdr:col>
          <xdr:colOff>561975</xdr:colOff>
          <xdr:row>2</xdr:row>
          <xdr:rowOff>76200</xdr:rowOff>
        </xdr:to>
        <xdr:sp macro="" textlink="">
          <xdr:nvSpPr>
            <xdr:cNvPr id="3076" name="Button 4" descr="Run Export ConNext Profiles based on search query." hidden="1">
              <a:extLst>
                <a:ext uri="{63B3BB69-23CF-44E3-9099-C40C66FF867C}">
                  <a14:compatExt spid="_x0000_s3076"/>
                </a:ext>
                <a:ext uri="{FF2B5EF4-FFF2-40B4-BE49-F238E27FC236}">
                  <a16:creationId xmlns:a16="http://schemas.microsoft.com/office/drawing/2014/main" id="{00000000-0008-0000-0A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1409700</xdr:colOff>
          <xdr:row>0</xdr:row>
          <xdr:rowOff>57150</xdr:rowOff>
        </xdr:from>
        <xdr:to>
          <xdr:col>0</xdr:col>
          <xdr:colOff>1924050</xdr:colOff>
          <xdr:row>1</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lon, Thierry" refreshedDate="43655.453090972223" createdVersion="6" refreshedVersion="6" minRefreshableVersion="3" recordCount="1" xr:uid="{F62C641E-E68D-4C93-B1A5-D46011020DB1}">
  <cacheSource type="worksheet">
    <worksheetSource name="ProfilesTable_Transform"/>
  </cacheSource>
  <cacheFields count="12">
    <cacheField name="name" numFmtId="0">
      <sharedItems containsNonDate="0" containsString="0" containsBlank="1"/>
    </cacheField>
    <cacheField name="ConNext Profile" numFmtId="0">
      <sharedItems containsNonDate="0" containsString="0" containsBlank="1"/>
    </cacheField>
    <cacheField name="email" numFmtId="0">
      <sharedItems containsNonDate="0" containsString="0" containsBlank="1"/>
    </cacheField>
    <cacheField name="snx:userid" numFmtId="0">
      <sharedItems containsNonDate="0" containsString="0" containsBlank="1"/>
    </cacheField>
    <cacheField name="BU" numFmtId="0">
      <sharedItems containsNonDate="0" containsString="0" containsBlank="1"/>
    </cacheField>
    <cacheField name="Country" numFmtId="0">
      <sharedItems containsNonDate="0" containsBlank="1" count="13">
        <m/>
        <s v="Germany" u="1"/>
        <s v="France" u="1"/>
        <s v="India" u="1"/>
        <s v="Philippines" u="1"/>
        <s v="United States" u="1"/>
        <s v="Brazil" u="1"/>
        <s v="Mexico" u="1"/>
        <s v="Czech Republic" u="1"/>
        <s v="Slovakia" u="1"/>
        <s v="United Kingdom" u="1"/>
        <s v="Austria" u="1"/>
        <s v="Japan" u="1"/>
      </sharedItems>
    </cacheField>
    <cacheField name="City" numFmtId="0">
      <sharedItems containsNonDate="0" containsString="0" containsBlank="1"/>
    </cacheField>
    <cacheField name="Department" numFmtId="0">
      <sharedItems containsNonDate="0" containsString="0" containsBlank="1"/>
    </cacheField>
    <cacheField name="Office" numFmtId="0">
      <sharedItems containsNonDate="0" containsString="0" containsBlank="1"/>
    </cacheField>
    <cacheField name="Business Unit " numFmtId="0">
      <sharedItems containsNonDate="0" containsString="0" containsBlank="1"/>
    </cacheField>
    <cacheField name="Filtered Tags" numFmtId="0">
      <sharedItems containsNonDate="0" containsBlank="1" count="22">
        <m/>
        <s v="kb_onedrive" u="1"/>
        <s v="kb_outlook" u="1"/>
        <s v="kb_excel" u="1"/>
        <s v="kb_forms" u="1"/>
        <s v="kb_get&amp;transform" u="1"/>
        <s v="kb_uservoice" u="1"/>
        <s v="kb_stream" u="1"/>
        <s v="kb_flow" u="1"/>
        <s v="kb_powerpoint" u="1"/>
        <s v="kb_planner" u="1"/>
        <s v="kb_onenote" u="1"/>
        <s v="kb_teams" u="1"/>
        <s v="kb_sharepoint" u="1"/>
        <s v="kb_skype" u="1"/>
        <s v="kb_skype_broadcast" u="1"/>
        <s v="kb_autohotkey" u="1"/>
        <s v="kb_vba" u="1"/>
        <s v="kb_findtime" u="1"/>
        <s v="kb_snagit" u="1"/>
        <s v="kb_sap" u="1"/>
        <s v="kb_connext" u="1"/>
      </sharedItems>
    </cacheField>
    <cacheField name="Tag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m/>
    <x v="0"/>
    <m/>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670B95-0D7D-4E92-A133-5CC63538E404}"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5" firstHeaderRow="1" firstDataRow="1" firstDataCol="1"/>
  <pivotFields count="12">
    <pivotField showAll="0"/>
    <pivotField showAll="0"/>
    <pivotField showAll="0"/>
    <pivotField showAll="0"/>
    <pivotField showAll="0"/>
    <pivotField showAll="0"/>
    <pivotField showAll="0"/>
    <pivotField showAll="0"/>
    <pivotField showAll="0"/>
    <pivotField showAll="0"/>
    <pivotField axis="axisRow" dataField="1" showAll="0" sortType="descending">
      <items count="23">
        <item m="1" x="16"/>
        <item m="1" x="21"/>
        <item m="1" x="3"/>
        <item m="1" x="18"/>
        <item m="1" x="8"/>
        <item m="1" x="4"/>
        <item m="1" x="5"/>
        <item m="1" x="11"/>
        <item m="1" x="2"/>
        <item m="1" x="10"/>
        <item m="1" x="9"/>
        <item m="1" x="20"/>
        <item m="1" x="14"/>
        <item m="1" x="15"/>
        <item m="1" x="19"/>
        <item m="1" x="7"/>
        <item m="1" x="12"/>
        <item m="1" x="6"/>
        <item m="1" x="17"/>
        <item x="0"/>
        <item m="1" x="1"/>
        <item m="1" x="13"/>
        <item t="default"/>
      </items>
      <autoSortScope>
        <pivotArea dataOnly="0" outline="0" fieldPosition="0">
          <references count="1">
            <reference field="4294967294" count="1" selected="0">
              <x v="0"/>
            </reference>
          </references>
        </pivotArea>
      </autoSortScope>
    </pivotField>
    <pivotField showAll="0"/>
  </pivotFields>
  <rowFields count="1">
    <field x="10"/>
  </rowFields>
  <rowItems count="2">
    <i>
      <x v="19"/>
    </i>
    <i t="grand">
      <x/>
    </i>
  </rowItems>
  <colItems count="1">
    <i/>
  </colItems>
  <dataFields count="1">
    <dataField name="Count of Filtered Tags" fld="10" subtotal="count" baseField="0" baseItem="0"/>
  </dataFields>
  <chartFormats count="2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0" count="1" selected="0">
            <x v="16"/>
          </reference>
        </references>
      </pivotArea>
    </chartFormat>
    <chartFormat chart="1" format="2">
      <pivotArea type="data" outline="0" fieldPosition="0">
        <references count="2">
          <reference field="4294967294" count="1" selected="0">
            <x v="0"/>
          </reference>
          <reference field="10" count="1" selected="0">
            <x v="7"/>
          </reference>
        </references>
      </pivotArea>
    </chartFormat>
    <chartFormat chart="1" format="3">
      <pivotArea type="data" outline="0" fieldPosition="0">
        <references count="2">
          <reference field="4294967294" count="1" selected="0">
            <x v="0"/>
          </reference>
          <reference field="10" count="1" selected="0">
            <x v="1"/>
          </reference>
        </references>
      </pivotArea>
    </chartFormat>
    <chartFormat chart="1" format="4">
      <pivotArea type="data" outline="0" fieldPosition="0">
        <references count="2">
          <reference field="4294967294" count="1" selected="0">
            <x v="0"/>
          </reference>
          <reference field="10" count="1" selected="0">
            <x v="2"/>
          </reference>
        </references>
      </pivotArea>
    </chartFormat>
    <chartFormat chart="1" format="5">
      <pivotArea type="data" outline="0" fieldPosition="0">
        <references count="2">
          <reference field="4294967294" count="1" selected="0">
            <x v="0"/>
          </reference>
          <reference field="10" count="1" selected="0">
            <x v="5"/>
          </reference>
        </references>
      </pivotArea>
    </chartFormat>
    <chartFormat chart="1" format="6">
      <pivotArea type="data" outline="0" fieldPosition="0">
        <references count="2">
          <reference field="4294967294" count="1" selected="0">
            <x v="0"/>
          </reference>
          <reference field="10" count="1" selected="0">
            <x v="3"/>
          </reference>
        </references>
      </pivotArea>
    </chartFormat>
    <chartFormat chart="1" format="7">
      <pivotArea type="data" outline="0" fieldPosition="0">
        <references count="2">
          <reference field="4294967294" count="1" selected="0">
            <x v="0"/>
          </reference>
          <reference field="10" count="1" selected="0">
            <x v="18"/>
          </reference>
        </references>
      </pivotArea>
    </chartFormat>
    <chartFormat chart="1" format="8">
      <pivotArea type="data" outline="0" fieldPosition="0">
        <references count="2">
          <reference field="4294967294" count="1" selected="0">
            <x v="0"/>
          </reference>
          <reference field="10" count="1" selected="0">
            <x v="12"/>
          </reference>
        </references>
      </pivotArea>
    </chartFormat>
    <chartFormat chart="1" format="9">
      <pivotArea type="data" outline="0" fieldPosition="0">
        <references count="2">
          <reference field="4294967294" count="1" selected="0">
            <x v="0"/>
          </reference>
          <reference field="10" count="1" selected="0">
            <x v="15"/>
          </reference>
        </references>
      </pivotArea>
    </chartFormat>
    <chartFormat chart="1" format="10">
      <pivotArea type="data" outline="0" fieldPosition="0">
        <references count="2">
          <reference field="4294967294" count="1" selected="0">
            <x v="0"/>
          </reference>
          <reference field="10" count="1" selected="0">
            <x v="4"/>
          </reference>
        </references>
      </pivotArea>
    </chartFormat>
    <chartFormat chart="1" format="11">
      <pivotArea type="data" outline="0" fieldPosition="0">
        <references count="2">
          <reference field="4294967294" count="1" selected="0">
            <x v="0"/>
          </reference>
          <reference field="10" count="1" selected="0">
            <x v="8"/>
          </reference>
        </references>
      </pivotArea>
    </chartFormat>
    <chartFormat chart="1" format="12">
      <pivotArea type="data" outline="0" fieldPosition="0">
        <references count="2">
          <reference field="4294967294" count="1" selected="0">
            <x v="0"/>
          </reference>
          <reference field="10" count="1" selected="0">
            <x v="11"/>
          </reference>
        </references>
      </pivotArea>
    </chartFormat>
    <chartFormat chart="1" format="13">
      <pivotArea type="data" outline="0" fieldPosition="0">
        <references count="2">
          <reference field="4294967294" count="1" selected="0">
            <x v="0"/>
          </reference>
          <reference field="10" count="1" selected="0">
            <x v="10"/>
          </reference>
        </references>
      </pivotArea>
    </chartFormat>
    <chartFormat chart="1" format="14">
      <pivotArea type="data" outline="0" fieldPosition="0">
        <references count="2">
          <reference field="4294967294" count="1" selected="0">
            <x v="0"/>
          </reference>
          <reference field="10" count="1" selected="0">
            <x v="0"/>
          </reference>
        </references>
      </pivotArea>
    </chartFormat>
    <chartFormat chart="1" format="15">
      <pivotArea type="data" outline="0" fieldPosition="0">
        <references count="2">
          <reference field="4294967294" count="1" selected="0">
            <x v="0"/>
          </reference>
          <reference field="10" count="1" selected="0">
            <x v="6"/>
          </reference>
        </references>
      </pivotArea>
    </chartFormat>
    <chartFormat chart="1" format="16">
      <pivotArea type="data" outline="0" fieldPosition="0">
        <references count="2">
          <reference field="4294967294" count="1" selected="0">
            <x v="0"/>
          </reference>
          <reference field="10" count="1" selected="0">
            <x v="17"/>
          </reference>
        </references>
      </pivotArea>
    </chartFormat>
    <chartFormat chart="1" format="17">
      <pivotArea type="data" outline="0" fieldPosition="0">
        <references count="2">
          <reference field="4294967294" count="1" selected="0">
            <x v="0"/>
          </reference>
          <reference field="10" count="1" selected="0">
            <x v="13"/>
          </reference>
        </references>
      </pivotArea>
    </chartFormat>
    <chartFormat chart="1" format="18">
      <pivotArea type="data" outline="0" fieldPosition="0">
        <references count="2">
          <reference field="4294967294" count="1" selected="0">
            <x v="0"/>
          </reference>
          <reference field="10" count="1" selected="0">
            <x v="14"/>
          </reference>
        </references>
      </pivotArea>
    </chartFormat>
    <chartFormat chart="1" format="19">
      <pivotArea type="data" outline="0" fieldPosition="0">
        <references count="2">
          <reference field="4294967294" count="1" selected="0">
            <x v="0"/>
          </reference>
          <reference field="10" count="1" selected="0">
            <x v="9"/>
          </reference>
        </references>
      </pivotArea>
    </chartFormat>
    <chartFormat chart="1" format="20">
      <pivotArea type="data" outline="0" fieldPosition="0">
        <references count="2">
          <reference field="4294967294" count="1" selected="0">
            <x v="0"/>
          </reference>
          <reference field="10" count="1" selected="0">
            <x v="19"/>
          </reference>
        </references>
      </pivotArea>
    </chartFormat>
    <chartFormat chart="1" format="21">
      <pivotArea type="data" outline="0" fieldPosition="0">
        <references count="2">
          <reference field="4294967294" count="1" selected="0">
            <x v="0"/>
          </reference>
          <reference field="10" count="1" selected="0">
            <x v="20"/>
          </reference>
        </references>
      </pivotArea>
    </chartFormat>
    <chartFormat chart="1" format="22">
      <pivotArea type="data" outline="0" fieldPosition="0">
        <references count="2">
          <reference field="4294967294" count="1" selected="0">
            <x v="0"/>
          </reference>
          <reference field="10"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EFCE09-5C14-41CB-A9CA-D8FECA144153}"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6" firstHeaderRow="1" firstDataRow="2" firstDataCol="1"/>
  <pivotFields count="12">
    <pivotField showAll="0"/>
    <pivotField showAll="0"/>
    <pivotField showAll="0"/>
    <pivotField showAll="0"/>
    <pivotField showAll="0"/>
    <pivotField axis="axisRow" showAll="0">
      <items count="14">
        <item m="1" x="11"/>
        <item m="1" x="6"/>
        <item m="1" x="8"/>
        <item m="1" x="2"/>
        <item m="1" x="1"/>
        <item m="1" x="3"/>
        <item m="1" x="12"/>
        <item m="1" x="7"/>
        <item m="1" x="4"/>
        <item m="1" x="9"/>
        <item m="1" x="10"/>
        <item m="1" x="5"/>
        <item x="0"/>
        <item t="default"/>
      </items>
    </pivotField>
    <pivotField showAll="0"/>
    <pivotField showAll="0"/>
    <pivotField showAll="0"/>
    <pivotField showAll="0"/>
    <pivotField axis="axisCol" dataField="1" showAll="0">
      <items count="23">
        <item m="1" x="16"/>
        <item m="1" x="21"/>
        <item m="1" x="3"/>
        <item m="1" x="18"/>
        <item m="1" x="8"/>
        <item m="1" x="4"/>
        <item m="1" x="5"/>
        <item m="1" x="1"/>
        <item m="1" x="11"/>
        <item m="1" x="2"/>
        <item m="1" x="10"/>
        <item m="1" x="9"/>
        <item m="1" x="20"/>
        <item m="1" x="13"/>
        <item m="1" x="14"/>
        <item m="1" x="15"/>
        <item m="1" x="19"/>
        <item m="1" x="7"/>
        <item m="1" x="12"/>
        <item m="1" x="6"/>
        <item m="1" x="17"/>
        <item x="0"/>
        <item t="default"/>
      </items>
    </pivotField>
    <pivotField showAll="0"/>
  </pivotFields>
  <rowFields count="1">
    <field x="5"/>
  </rowFields>
  <rowItems count="2">
    <i>
      <x v="12"/>
    </i>
    <i t="grand">
      <x/>
    </i>
  </rowItems>
  <colFields count="1">
    <field x="10"/>
  </colFields>
  <colItems count="2">
    <i>
      <x v="21"/>
    </i>
    <i t="grand">
      <x/>
    </i>
  </colItems>
  <dataFields count="1">
    <dataField name="Count of Filtered Tags"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F79A1E1-75DE-4E29-A541-000CA1C1FBA8}" autoFormatId="16" applyNumberFormats="0" applyBorderFormats="0" applyFontFormats="0" applyPatternFormats="0" applyAlignmentFormats="0" applyWidthHeightFormats="0">
  <queryTableRefresh nextId="13">
    <queryTableFields count="12">
      <queryTableField id="1" name="name" tableColumnId="1"/>
      <queryTableField id="2" name="ConNext Profile" tableColumnId="2"/>
      <queryTableField id="3" name="email" tableColumnId="3"/>
      <queryTableField id="4" name="snx:userid" tableColumnId="4"/>
      <queryTableField id="5" name="BU" tableColumnId="5"/>
      <queryTableField id="6" name="Country" tableColumnId="6"/>
      <queryTableField id="7" name="City" tableColumnId="7"/>
      <queryTableField id="8" name="Department" tableColumnId="8"/>
      <queryTableField id="9" name="Office" tableColumnId="9"/>
      <queryTableField id="10" name="Business Unit " tableColumnId="10"/>
      <queryTableField id="11" name="Filtered Tags" tableColumnId="11"/>
      <queryTableField id="12" name="Tags"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400-000000000000}" autoFormatId="16" applyNumberFormats="0" applyBorderFormats="0" applyFontFormats="0" applyPatternFormats="0" applyAlignmentFormats="0" applyWidthHeightFormats="0">
  <queryTableRefresh nextId="12">
    <queryTableFields count="6">
      <queryTableField id="3" name="entry.title.Element:Text" tableColumnId="3"/>
      <queryTableField id="10" name="entry.link.Attribute:href" tableColumnId="1"/>
      <queryTableField id="4" name="entry.author.email" tableColumnId="4"/>
      <queryTableField id="5" name="entry.author.name" tableColumnId="5"/>
      <queryTableField id="2" name="entry.updated" tableColumnId="2"/>
      <queryTableField id="6" name="entry.content.Element:Text"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8FC3F3E-4FD2-4FCB-B218-3C86D5BC0759}" sourceName="Country">
  <extLst>
    <x:ext xmlns:x15="http://schemas.microsoft.com/office/spreadsheetml/2010/11/main" uri="{2F2917AC-EB37-4324-AD4E-5DD8C200BD13}">
      <x15:tableSlicerCache tableId="12" column="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ltered_Tags" xr10:uid="{28D99BB6-62BF-4554-8ACD-C419A5409E5F}" sourceName="Filtered Tags">
  <extLst>
    <x:ext xmlns:x15="http://schemas.microsoft.com/office/spreadsheetml/2010/11/main" uri="{2F2917AC-EB37-4324-AD4E-5DD8C200BD13}">
      <x15:tableSlicerCache tableId="12"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49C1E1C4-7E78-4778-B45F-606FC28F167F}" cache="Slicer_Country" caption="Country" rowHeight="234950"/>
  <slicer name="Filtered Tags" xr10:uid="{D62CFC7D-AED0-4A32-8C9C-F0A055A56653}" cache="Slicer_Filtered_Tags" caption="Filtered Tags"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5C31489-C6B3-4F4A-AF96-8A1E672F39A9}" name="ProfilesTable_Transform" displayName="ProfilesTable_Transform" ref="A1:L2" tableType="queryTable" insertRow="1" totalsRowShown="0">
  <autoFilter ref="A1:L2" xr:uid="{946B275F-8906-491D-91CA-6DAE7CAE4074}">
    <filterColumn colId="10">
      <filters>
        <filter val="kb_vba"/>
      </filters>
    </filterColumn>
  </autoFilter>
  <tableColumns count="12">
    <tableColumn id="1" xr3:uid="{DE13C368-E33B-4817-B213-CA15F6896B74}" uniqueName="1" name="name" queryTableFieldId="1" dataDxfId="30"/>
    <tableColumn id="2" xr3:uid="{C6EB8590-A818-44FC-8276-28B226653878}" uniqueName="2" name="ConNext Profile" queryTableFieldId="2" dataDxfId="29"/>
    <tableColumn id="3" xr3:uid="{1C7486A8-CA6E-4EF3-8E4D-3CDE93B67708}" uniqueName="3" name="email" queryTableFieldId="3" dataDxfId="28"/>
    <tableColumn id="4" xr3:uid="{411081D4-0D3B-43A2-A90B-A8408677B35F}" uniqueName="4" name="snx:userid" queryTableFieldId="4" dataDxfId="27"/>
    <tableColumn id="5" xr3:uid="{CE7B13B0-8011-487C-A270-89A7ABF789A9}" uniqueName="5" name="BU" queryTableFieldId="5" dataDxfId="26"/>
    <tableColumn id="6" xr3:uid="{558CC494-471B-47C9-B39A-975AD10ADE47}" uniqueName="6" name="Country" queryTableFieldId="6" dataDxfId="25"/>
    <tableColumn id="7" xr3:uid="{8B0AAFB0-4DA6-4A61-B2AB-C55D783B11BD}" uniqueName="7" name="City" queryTableFieldId="7" dataDxfId="24"/>
    <tableColumn id="8" xr3:uid="{C2C0BCFC-E2C0-4567-9B53-5FCFCD023C5B}" uniqueName="8" name="Department" queryTableFieldId="8" dataDxfId="23"/>
    <tableColumn id="9" xr3:uid="{D6C21A28-5DDD-494D-BD5D-EF96543AF248}" uniqueName="9" name="Office" queryTableFieldId="9" dataDxfId="22"/>
    <tableColumn id="10" xr3:uid="{B7ECC8B7-D4E9-42F9-9EFF-4FD84EA0BC11}" uniqueName="10" name="Business Unit " queryTableFieldId="10"/>
    <tableColumn id="11" xr3:uid="{4CBD8E9F-9247-478F-B523-561D754669DC}" uniqueName="11" name="Filtered Tags" queryTableFieldId="11" dataDxfId="21"/>
    <tableColumn id="12" xr3:uid="{2BA64896-E880-4D1C-984C-D7E4EB655DDD}" uniqueName="12" name="Tags" queryTableFieldId="12" dataDxfId="2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ProfilesTable" displayName="ProfilesTable" ref="B2:M8" totalsRowShown="0">
  <autoFilter ref="B2:M8" xr:uid="{E3A78BC7-47C2-454D-93A6-2DA24FEB882D}"/>
  <tableColumns count="12">
    <tableColumn id="13" xr3:uid="{CD242714-C4F9-453B-AC17-6DDE14B07C65}" name="name" dataCellStyle="Normal"/>
    <tableColumn id="12" xr3:uid="{44920D06-6EA9-4D20-B2BA-D2BC9426DD0B}" name="ConNext Profile" dataDxfId="19" dataCellStyle="Hyperlink">
      <calculatedColumnFormula>HYPERLINK("http://connext.conti.de/profiles/html/profileView.do?email="&amp;ProfilesTable[[#This Row],[email]],"Link")</calculatedColumnFormula>
    </tableColumn>
    <tableColumn id="1" xr3:uid="{00000000-0010-0000-0000-000001000000}" name="email"/>
    <tableColumn id="8" xr3:uid="{00000000-0010-0000-0000-000008000000}" name="snx:userid"/>
    <tableColumn id="10" xr3:uid="{397EA9D4-6513-43BD-801D-704A3908DD85}" name="BU" dataDxfId="18" dataCellStyle="Hyperlink"/>
    <tableColumn id="4" xr3:uid="{00000000-0010-0000-0000-000004000000}" name="Country"/>
    <tableColumn id="5" xr3:uid="{00000000-0010-0000-0000-000005000000}" name="City"/>
    <tableColumn id="6" xr3:uid="{00000000-0010-0000-0000-000006000000}" name="Department"/>
    <tableColumn id="11" xr3:uid="{14AC8D0F-3152-482A-8561-DEC556157A13}" name="Office"/>
    <tableColumn id="7" xr3:uid="{00000000-0010-0000-0000-000007000000}" name="Business Unit " dataDxfId="17">
      <calculatedColumnFormula>LEFT(ProfilesTable[[#This Row],[Department]],FIND("/",ProfilesTable[[#This Row],[Department]])-1)</calculatedColumnFormula>
    </tableColumn>
    <tableColumn id="9" xr3:uid="{09BC94CB-3923-4AAB-982D-FF5082791E27}" name="Filtered Tags" dataDxfId="16"/>
    <tableColumn id="2" xr3:uid="{CC958387-B80C-46EE-9470-B933EA4F74AC}" name="Tags"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UserConfigFieldsTable" displayName="UserConfigFieldsTable" ref="A6:C24" totalsRowShown="0">
  <tableColumns count="3">
    <tableColumn id="1" xr3:uid="{00000000-0010-0000-0800-000001000000}" name="FieldName"/>
    <tableColumn id="4" xr3:uid="{00000000-0010-0000-0800-000004000000}" name="ColName"/>
    <tableColumn id="2" xr3:uid="{00000000-0010-0000-0800-000002000000}" name="Sourc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UserConfigKeysTable" displayName="UserConfigKeysTable" ref="A1:B4" totalsRowShown="0">
  <autoFilter ref="A1:B4" xr:uid="{00000000-0009-0000-0100-00000B000000}"/>
  <tableColumns count="2">
    <tableColumn id="1" xr3:uid="{00000000-0010-0000-0900-000001000000}" name="Key"/>
    <tableColumn id="2" xr3:uid="{00000000-0010-0000-0900-000002000000}" name="Source"/>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ttendeesTable" displayName="AttendeesTable" ref="B2:D4" totalsRowShown="0">
  <autoFilter ref="B2:D4" xr:uid="{00000000-0009-0000-0100-000001000000}"/>
  <tableColumns count="3">
    <tableColumn id="1" xr3:uid="{00000000-0010-0000-0100-000001000000}" name="email"/>
    <tableColumn id="2" xr3:uid="{00000000-0010-0000-0100-000002000000}" name="name"/>
    <tableColumn id="3" xr3:uid="{00000000-0010-0000-0100-000003000000}" name="ConNext Profile" dataDxfId="14">
      <calculatedColumnFormula>HYPERLINK("http://connext.conti.de/profiles/html/profileView.do?email="&amp;AttendeesTable[[#This Row],[email]],"Link")</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FeedExport" displayName="FeedExport" ref="A1:F182" tableType="queryTable" totalsRowShown="0">
  <autoFilter ref="A1:F182" xr:uid="{00000000-0009-0000-0100-00000A000000}">
    <filterColumn colId="1">
      <filters>
        <filter val="https://connext.conti.de/blogs/tdalon/entry/connext_expand_profile_picture_ahk?lang=en_us"/>
        <filter val="https://connext.conti.de/blogs/tdalon/entry/connext_export_attendees?lang=en_us"/>
        <filter val="https://connext.conti.de/blogs/tdalon/entry/connext_export_forum_to_excel?lang=en_us"/>
        <filter val="https://connext.conti.de/blogs/tdalon/entry/connext_export_profile_search_email?lang=en_us"/>
        <filter val="https://connext.conti.de/blogs/tdalon/entry/connext_grey_ghosts?lang=en_us"/>
        <filter val="https://connext.conti.de/blogs/tdalon/entry/ConNext_Profiles_Statistics_by_Tags?lang=en_us"/>
        <filter val="https://connext.conti.de/blogs/tdalon/entry/connext_quick_mentions?lang=en_us"/>
        <filter val="https://connext.conti.de/blogs/tdalon/entry/ConNext_Tool_Export_emails_from_mentions?lang=en_us"/>
        <filter val="https://connext.conti.de/blogs/tdalon/entry/ConNext_Tool_generate_table_of_users?lang=en_us"/>
        <filter val="https://connext.conti.de/blogs/tdalon/entry/Excel_Formula_to_add_link_to_ConNext_Profile?lang=en_us"/>
        <filter val="https://connext.conti.de/blogs/tdalon/entry/Extract_Likers_from_a_ConNext_Blog_post?lang=en_us"/>
        <filter val="https://connext.conti.de/blogs/tdalon/entry/guide_powertool?lang=en_us"/>
        <filter val="https://connext.conti.de/blogs/tdalon/entry/improved_excel_connext_profiles_export?lang=en_us"/>
        <filter val="https://connext.conti.de/blogs/tdalon/entry/webinar_guide_power_tools?lang=en_us"/>
      </filters>
    </filterColumn>
  </autoFilter>
  <tableColumns count="6">
    <tableColumn id="3" xr3:uid="{00000000-0010-0000-0200-000003000000}" uniqueName="3" name="entry.title.Element:Text" queryTableFieldId="3"/>
    <tableColumn id="1" xr3:uid="{89B8D91B-7C5A-4403-9394-EB18FFDCA8B6}" uniqueName="1" name="entry.link.Attribute:href" queryTableFieldId="10"/>
    <tableColumn id="4" xr3:uid="{00000000-0010-0000-0200-000004000000}" uniqueName="4" name="entry.author.email" queryTableFieldId="4"/>
    <tableColumn id="5" xr3:uid="{00000000-0010-0000-0200-000005000000}" uniqueName="5" name="entry.author.name" queryTableFieldId="5"/>
    <tableColumn id="2" xr3:uid="{00000000-0010-0000-0200-000002000000}" uniqueName="2" name="entry.updated" queryTableFieldId="2" dataDxfId="13"/>
    <tableColumn id="6" xr3:uid="{00000000-0010-0000-0200-000006000000}" uniqueName="6" name="entry.content.Element:Text"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DA21682-7001-4A32-A356-300F924FF599}" name="LikersTable" displayName="LikersTable" ref="B2:E3" totalsRowShown="0">
  <autoFilter ref="B2:E3" xr:uid="{00000000-0009-0000-0100-000003000000}"/>
  <tableColumns count="4">
    <tableColumn id="1" xr3:uid="{E1A412BA-6E7C-4643-B3B2-009393888F07}" name="email" dataCellStyle="Hyperlink"/>
    <tableColumn id="2" xr3:uid="{D9F5673B-70E1-4CF1-B68C-37D54FD4050E}" name="name"/>
    <tableColumn id="3" xr3:uid="{D16E2828-3C78-4F2A-AB77-08B9082FC44D}" name="snx:userid"/>
    <tableColumn id="4" xr3:uid="{31214D54-68E3-4804-A269-A3862622B522}" name="ConNext Profile" dataDxfId="12" dataCellStyle="Hyperlink"/>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CommentersTable" displayName="CommentersTable" ref="B2:E4" totalsRowShown="0">
  <autoFilter ref="B2:E4" xr:uid="{00000000-0009-0000-0100-000003000000}"/>
  <tableColumns count="4">
    <tableColumn id="1" xr3:uid="{00000000-0010-0000-0400-000001000000}" name="email" dataCellStyle="Hyperlink"/>
    <tableColumn id="2" xr3:uid="{00000000-0010-0000-0400-000002000000}" name="name"/>
    <tableColumn id="3" xr3:uid="{00000000-0010-0000-0400-000003000000}" name="snx:userid"/>
    <tableColumn id="4" xr3:uid="{00000000-0010-0000-0400-000004000000}" name="ConNext Profile" dataDxfId="11" dataCellStyle="Hyperlink">
      <calculatedColumnFormula>HYPERLINK("http://connext.conti.de/profiles/html/profileView.do?email="&amp;CommentersTable[[#This Row],[email]],"Link")</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A3:A20" totalsRowShown="0">
  <autoFilter ref="A3:A20" xr:uid="{00000000-0009-0000-0100-000004000000}"/>
  <tableColumns count="1">
    <tableColumn id="1" xr3:uid="{00000000-0010-0000-0500-000001000000}" name="email"/>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77A5610-B937-420F-B1D6-2A58AE4FF3C3}" name="Table_ADFields" displayName="Table_ADFields" ref="A4:F79" totalsRowShown="0" headerRowDxfId="10" dataDxfId="8" headerRowBorderDxfId="9" tableBorderDxfId="7" totalsRowBorderDxfId="6">
  <autoFilter ref="A4:F79" xr:uid="{76D6E4C5-1FF3-438D-9E95-2A17159027E9}"/>
  <sortState xmlns:xlrd2="http://schemas.microsoft.com/office/spreadsheetml/2017/richdata2" ref="A5:F79">
    <sortCondition ref="D4:D79"/>
  </sortState>
  <tableColumns count="6">
    <tableColumn id="1" xr3:uid="{240DDB1A-E88C-42C5-9F46-AD624848EDEA}" name="AD Property " dataDxfId="5"/>
    <tableColumn id="2" xr3:uid="{4BF6B4B9-F073-40A8-B623-E3821065C1BA}" name="Syntax" dataDxfId="4"/>
    <tableColumn id="3" xr3:uid="{9E199EB9-300B-4DDE-974D-910840E6468E}" name="R/RW" dataDxfId="3"/>
    <tableColumn id="4" xr3:uid="{6C30ED67-8069-43C2-9405-A67B484CCDCD}" name="LDAPDisplayName" dataDxfId="2"/>
    <tableColumn id="5" xr3:uid="{9F330D8A-2524-455D-8D3F-D2FD235A94B9}" name="Additional remarks" dataDxfId="1"/>
    <tableColumn id="7" xr3:uid="{C2B7F38C-00AD-4113-8C13-3FA9A7E80AB8}" name="Exampl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connext.conti.de/search/web/search?scope=profiles&amp;pageSize=%7bpageSize%7d&amp;page=%7bpage%7d&amp;constraint=%7b%22type%22:%22category%22,%22values%22:%5b%22Tag/claim_manager%22%5d%7d" TargetMode="External"/><Relationship Id="rId6" Type="http://schemas.openxmlformats.org/officeDocument/2006/relationships/table" Target="../tables/table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omments" Target="../comments4.xml"/><Relationship Id="rId2" Type="http://schemas.openxmlformats.org/officeDocument/2006/relationships/printerSettings" Target="../printerSettings/printerSettings6.bin"/><Relationship Id="rId1" Type="http://schemas.openxmlformats.org/officeDocument/2006/relationships/hyperlink" Target="https://connext.conti.de/blogs/ea176a1c-7f2c-4836-ad50-c97443d30138/entry/Coursera_for_Continental_Learning_We_are_live" TargetMode="External"/><Relationship Id="rId6" Type="http://schemas.openxmlformats.org/officeDocument/2006/relationships/table" Target="../tables/table7.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table" Target="../tables/table8.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9.xml"/><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hyperlink" Target="https://docs.bmc.com/docs/fpsc121/ldap-attributes-and-associated-fields-495323340.html" TargetMode="External"/><Relationship Id="rId7" Type="http://schemas.openxmlformats.org/officeDocument/2006/relationships/comments" Target="../comments6.xml"/><Relationship Id="rId2" Type="http://schemas.openxmlformats.org/officeDocument/2006/relationships/hyperlink" Target="mailto:uid41890@contiwan.com" TargetMode="External"/><Relationship Id="rId1" Type="http://schemas.openxmlformats.org/officeDocument/2006/relationships/hyperlink" Target="mailto:Thierry.Dalon@continental-corporation.com" TargetMode="External"/><Relationship Id="rId6" Type="http://schemas.openxmlformats.org/officeDocument/2006/relationships/table" Target="../tables/table10.xml"/><Relationship Id="rId5" Type="http://schemas.openxmlformats.org/officeDocument/2006/relationships/vmlDrawing" Target="../drawings/vmlDrawing9.vm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D3EFF-B760-42E6-A0CE-EC3374B62FC2}">
  <sheetPr codeName="Sheet12"/>
  <dimension ref="A3:B5"/>
  <sheetViews>
    <sheetView workbookViewId="0">
      <selection activeCell="F38" sqref="F38"/>
    </sheetView>
  </sheetViews>
  <sheetFormatPr defaultRowHeight="15" x14ac:dyDescent="0.25"/>
  <cols>
    <col min="1" max="1" width="13.140625" bestFit="1" customWidth="1"/>
    <col min="2" max="2" width="20.5703125" bestFit="1" customWidth="1"/>
  </cols>
  <sheetData>
    <row r="3" spans="1:2" x14ac:dyDescent="0.25">
      <c r="A3" s="26" t="s">
        <v>236</v>
      </c>
      <c r="B3" t="s">
        <v>239</v>
      </c>
    </row>
    <row r="4" spans="1:2" x14ac:dyDescent="0.25">
      <c r="A4" s="23" t="s">
        <v>238</v>
      </c>
      <c r="B4" s="7"/>
    </row>
    <row r="5" spans="1:2" x14ac:dyDescent="0.25">
      <c r="A5" s="23" t="s">
        <v>237</v>
      </c>
      <c r="B5" s="7"/>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79C94-8681-4244-8736-7AAC81DB84FC}">
  <sheetPr codeName="Sheet14"/>
  <dimension ref="A3:C6"/>
  <sheetViews>
    <sheetView workbookViewId="0">
      <selection activeCell="A3" sqref="A3"/>
    </sheetView>
  </sheetViews>
  <sheetFormatPr defaultRowHeight="15" x14ac:dyDescent="0.25"/>
  <cols>
    <col min="1" max="1" width="20.5703125" bestFit="1" customWidth="1"/>
    <col min="2" max="2" width="16.28515625" bestFit="1" customWidth="1"/>
    <col min="3" max="3" width="11.28515625" bestFit="1" customWidth="1"/>
    <col min="4" max="4" width="8.85546875" bestFit="1" customWidth="1"/>
    <col min="5" max="5" width="11.85546875" bestFit="1" customWidth="1"/>
    <col min="6" max="6" width="8.140625" bestFit="1" customWidth="1"/>
    <col min="7" max="7" width="9.28515625" bestFit="1" customWidth="1"/>
    <col min="8" max="8" width="17.5703125" bestFit="1" customWidth="1"/>
    <col min="9" max="9" width="12.140625" bestFit="1" customWidth="1"/>
    <col min="10" max="10" width="11.7109375" bestFit="1" customWidth="1"/>
    <col min="11" max="12" width="11" bestFit="1" customWidth="1"/>
    <col min="13" max="13" width="14.7109375" bestFit="1" customWidth="1"/>
    <col min="14" max="14" width="7.140625" bestFit="1" customWidth="1"/>
    <col min="15" max="15" width="13.85546875" bestFit="1" customWidth="1"/>
    <col min="16" max="16" width="9.28515625" bestFit="1" customWidth="1"/>
    <col min="17" max="17" width="19.140625" bestFit="1" customWidth="1"/>
    <col min="18" max="18" width="9.42578125" bestFit="1" customWidth="1"/>
    <col min="19" max="19" width="10.28515625" bestFit="1" customWidth="1"/>
    <col min="20" max="20" width="9.5703125" bestFit="1" customWidth="1"/>
    <col min="21" max="21" width="12.7109375" bestFit="1" customWidth="1"/>
    <col min="22" max="23" width="7.28515625" bestFit="1" customWidth="1"/>
    <col min="24" max="24" width="11.28515625" bestFit="1" customWidth="1"/>
  </cols>
  <sheetData>
    <row r="3" spans="1:3" x14ac:dyDescent="0.25">
      <c r="A3" s="26" t="s">
        <v>239</v>
      </c>
      <c r="B3" s="26" t="s">
        <v>240</v>
      </c>
    </row>
    <row r="4" spans="1:3" x14ac:dyDescent="0.25">
      <c r="A4" s="26" t="s">
        <v>236</v>
      </c>
      <c r="B4" t="s">
        <v>238</v>
      </c>
      <c r="C4" t="s">
        <v>237</v>
      </c>
    </row>
    <row r="5" spans="1:3" x14ac:dyDescent="0.25">
      <c r="A5" s="23" t="s">
        <v>238</v>
      </c>
      <c r="B5" s="7"/>
      <c r="C5" s="7"/>
    </row>
    <row r="6" spans="1:3" x14ac:dyDescent="0.25">
      <c r="A6" s="23" t="s">
        <v>237</v>
      </c>
      <c r="B6" s="7"/>
      <c r="C6"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FCFB2-9671-4B6A-AACB-829FA36345E1}">
  <sheetPr codeName="Sheet13"/>
  <dimension ref="A1:L2"/>
  <sheetViews>
    <sheetView workbookViewId="0">
      <selection activeCell="K9" sqref="K9"/>
    </sheetView>
  </sheetViews>
  <sheetFormatPr defaultRowHeight="15" x14ac:dyDescent="0.25"/>
  <cols>
    <col min="1" max="1" width="8.28515625" bestFit="1" customWidth="1"/>
    <col min="2" max="2" width="17.5703125" bestFit="1" customWidth="1"/>
    <col min="3" max="3" width="8.28515625" bestFit="1" customWidth="1"/>
    <col min="4" max="4" width="12.42578125" bestFit="1" customWidth="1"/>
    <col min="5" max="5" width="5.85546875" bestFit="1" customWidth="1"/>
    <col min="6" max="6" width="10.28515625" bestFit="1" customWidth="1"/>
    <col min="7" max="7" width="6.7109375" bestFit="1" customWidth="1"/>
    <col min="8" max="8" width="14" bestFit="1" customWidth="1"/>
    <col min="9" max="9" width="8.7109375" bestFit="1" customWidth="1"/>
    <col min="10" max="10" width="15.85546875" bestFit="1" customWidth="1"/>
    <col min="11" max="11" width="14.5703125" bestFit="1" customWidth="1"/>
    <col min="12" max="12" width="7.140625" bestFit="1" customWidth="1"/>
  </cols>
  <sheetData>
    <row r="1" spans="1:12" x14ac:dyDescent="0.25">
      <c r="A1" t="s">
        <v>2</v>
      </c>
      <c r="B1" t="s">
        <v>3</v>
      </c>
      <c r="C1" t="s">
        <v>1</v>
      </c>
      <c r="D1" t="s">
        <v>0</v>
      </c>
      <c r="E1" t="s">
        <v>233</v>
      </c>
      <c r="F1" t="s">
        <v>43</v>
      </c>
      <c r="G1" t="s">
        <v>42</v>
      </c>
      <c r="H1" t="s">
        <v>22</v>
      </c>
      <c r="I1" t="s">
        <v>118</v>
      </c>
      <c r="J1" t="s">
        <v>218</v>
      </c>
      <c r="K1" t="s">
        <v>235</v>
      </c>
      <c r="L1" t="s">
        <v>9</v>
      </c>
    </row>
    <row r="2" spans="1:12" hidden="1" x14ac:dyDescent="0.25">
      <c r="A2" s="7"/>
      <c r="B2" s="7"/>
      <c r="C2" s="7"/>
      <c r="D2" s="7"/>
      <c r="E2" s="7"/>
      <c r="F2" s="7"/>
      <c r="G2" s="7"/>
      <c r="H2" s="7"/>
      <c r="I2" s="7"/>
      <c r="K2" s="7"/>
      <c r="L2" s="7"/>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83"/>
  <sheetViews>
    <sheetView zoomScaleNormal="100" workbookViewId="0">
      <selection activeCell="B16" sqref="B16"/>
    </sheetView>
  </sheetViews>
  <sheetFormatPr defaultRowHeight="15" x14ac:dyDescent="0.25"/>
  <cols>
    <col min="2" max="2" width="30.85546875" bestFit="1" customWidth="1"/>
    <col min="3" max="3" width="19.85546875" bestFit="1" customWidth="1"/>
    <col min="4" max="4" width="45" bestFit="1" customWidth="1"/>
    <col min="5" max="5" width="36.5703125" style="3" bestFit="1" customWidth="1"/>
    <col min="6" max="6" width="13.42578125" bestFit="1" customWidth="1"/>
    <col min="7" max="7" width="10.28515625" bestFit="1" customWidth="1"/>
    <col min="8" max="8" width="6.7109375" bestFit="1" customWidth="1"/>
    <col min="9" max="9" width="14" bestFit="1" customWidth="1"/>
    <col min="10" max="10" width="8.7109375" bestFit="1" customWidth="1"/>
    <col min="11" max="11" width="15.85546875" bestFit="1" customWidth="1"/>
    <col min="12" max="12" width="145.28515625" bestFit="1" customWidth="1"/>
    <col min="13" max="13" width="255.7109375" style="23" bestFit="1" customWidth="1"/>
  </cols>
  <sheetData>
    <row r="1" spans="1:13" x14ac:dyDescent="0.25">
      <c r="A1" t="s">
        <v>7</v>
      </c>
      <c r="B1" t="s">
        <v>393</v>
      </c>
      <c r="C1" s="5" t="s">
        <v>400</v>
      </c>
      <c r="D1" s="1" t="s">
        <v>394</v>
      </c>
    </row>
    <row r="2" spans="1:13" x14ac:dyDescent="0.25">
      <c r="B2" t="s">
        <v>2</v>
      </c>
      <c r="C2" s="13" t="s">
        <v>3</v>
      </c>
      <c r="D2" t="s">
        <v>1</v>
      </c>
      <c r="E2" t="s">
        <v>0</v>
      </c>
      <c r="F2" s="19" t="s">
        <v>233</v>
      </c>
      <c r="G2" s="14" t="s">
        <v>43</v>
      </c>
      <c r="H2" s="14" t="s">
        <v>42</v>
      </c>
      <c r="I2" s="14" t="s">
        <v>22</v>
      </c>
      <c r="J2" s="14" t="s">
        <v>118</v>
      </c>
      <c r="K2" s="12" t="s">
        <v>218</v>
      </c>
      <c r="L2" s="20" t="s">
        <v>235</v>
      </c>
      <c r="M2" s="24" t="s">
        <v>9</v>
      </c>
    </row>
    <row r="3" spans="1:13" ht="14.45" customHeight="1" x14ac:dyDescent="0.25">
      <c r="B3" s="27" t="s">
        <v>401</v>
      </c>
      <c r="C3" s="4" t="str">
        <f>HYPERLINK("http://connext.conti.de/profiles/html/profileView.do?email="&amp;ProfilesTable[[#This Row],[email]],"Link")</f>
        <v>Link</v>
      </c>
      <c r="D3" s="1" t="s">
        <v>11</v>
      </c>
      <c r="E3" t="s">
        <v>13</v>
      </c>
      <c r="F3" s="2" t="s">
        <v>409</v>
      </c>
      <c r="K3" s="7" t="e">
        <f>LEFT(ProfilesTable[[#This Row],[Department]],FIND("/",ProfilesTable[[#This Row],[Department]])-1)</f>
        <v>#VALUE!</v>
      </c>
      <c r="L3" s="21" t="s">
        <v>416</v>
      </c>
      <c r="M3" s="25" t="s">
        <v>410</v>
      </c>
    </row>
    <row r="4" spans="1:13" x14ac:dyDescent="0.25">
      <c r="B4" s="27" t="s">
        <v>402</v>
      </c>
      <c r="C4" s="4" t="str">
        <f>HYPERLINK("http://connext.conti.de/profiles/html/profileView.do?email="&amp;ProfilesTable[[#This Row],[email]],"Link")</f>
        <v>Link</v>
      </c>
      <c r="D4" s="1" t="s">
        <v>16</v>
      </c>
      <c r="E4" t="s">
        <v>18</v>
      </c>
      <c r="F4" s="2" t="s">
        <v>409</v>
      </c>
      <c r="K4" s="7" t="e">
        <f>LEFT(ProfilesTable[[#This Row],[Department]],FIND("/",ProfilesTable[[#This Row],[Department]])-1)</f>
        <v>#VALUE!</v>
      </c>
      <c r="L4" s="21" t="s">
        <v>417</v>
      </c>
      <c r="M4" s="25" t="s">
        <v>411</v>
      </c>
    </row>
    <row r="5" spans="1:13" x14ac:dyDescent="0.25">
      <c r="B5" s="27" t="s">
        <v>403</v>
      </c>
      <c r="C5" s="4" t="str">
        <f>HYPERLINK("http://connext.conti.de/profiles/html/profileView.do?email="&amp;ProfilesTable[[#This Row],[email]],"Link")</f>
        <v>Link</v>
      </c>
      <c r="D5" s="1" t="s">
        <v>4</v>
      </c>
      <c r="E5" t="s">
        <v>6</v>
      </c>
      <c r="F5" s="2" t="s">
        <v>409</v>
      </c>
      <c r="K5" s="7" t="e">
        <f>LEFT(ProfilesTable[[#This Row],[Department]],FIND("/",ProfilesTable[[#This Row],[Department]])-1)</f>
        <v>#VALUE!</v>
      </c>
      <c r="L5" s="21" t="s">
        <v>418</v>
      </c>
      <c r="M5" s="25" t="s">
        <v>412</v>
      </c>
    </row>
    <row r="6" spans="1:13" x14ac:dyDescent="0.25">
      <c r="B6" s="27" t="s">
        <v>404</v>
      </c>
      <c r="C6" s="4" t="str">
        <f>HYPERLINK("http://connext.conti.de/profiles/html/profileView.do?email="&amp;ProfilesTable[[#This Row],[email]],"Link")</f>
        <v>Link</v>
      </c>
      <c r="D6" s="1" t="s">
        <v>14</v>
      </c>
      <c r="E6" t="s">
        <v>15</v>
      </c>
      <c r="F6" s="2" t="s">
        <v>409</v>
      </c>
      <c r="K6" s="7" t="e">
        <f>LEFT(ProfilesTable[[#This Row],[Department]],FIND("/",ProfilesTable[[#This Row],[Department]])-1)</f>
        <v>#VALUE!</v>
      </c>
      <c r="L6" s="21" t="s">
        <v>419</v>
      </c>
      <c r="M6" s="25" t="s">
        <v>413</v>
      </c>
    </row>
    <row r="7" spans="1:13" x14ac:dyDescent="0.25">
      <c r="B7" s="27" t="s">
        <v>405</v>
      </c>
      <c r="C7" s="4" t="str">
        <f>HYPERLINK("http://connext.conti.de/profiles/html/profileView.do?email="&amp;ProfilesTable[[#This Row],[email]],"Link")</f>
        <v>Link</v>
      </c>
      <c r="D7" s="1" t="s">
        <v>243</v>
      </c>
      <c r="E7" t="s">
        <v>244</v>
      </c>
      <c r="F7" s="2" t="s">
        <v>409</v>
      </c>
      <c r="K7" s="7" t="e">
        <f>LEFT(ProfilesTable[[#This Row],[Department]],FIND("/",ProfilesTable[[#This Row],[Department]])-1)</f>
        <v>#VALUE!</v>
      </c>
      <c r="L7" s="21" t="s">
        <v>420</v>
      </c>
      <c r="M7" s="25" t="s">
        <v>414</v>
      </c>
    </row>
    <row r="8" spans="1:13" x14ac:dyDescent="0.25">
      <c r="B8" s="27" t="s">
        <v>406</v>
      </c>
      <c r="C8" s="4" t="str">
        <f>HYPERLINK("http://connext.conti.de/profiles/html/profileView.do?email="&amp;ProfilesTable[[#This Row],[email]],"Link")</f>
        <v>Link</v>
      </c>
      <c r="D8" s="1" t="s">
        <v>407</v>
      </c>
      <c r="E8" t="s">
        <v>408</v>
      </c>
      <c r="F8" s="2" t="s">
        <v>409</v>
      </c>
      <c r="K8" s="7" t="e">
        <f>LEFT(ProfilesTable[[#This Row],[Department]],FIND("/",ProfilesTable[[#This Row],[Department]])-1)</f>
        <v>#VALUE!</v>
      </c>
      <c r="L8" s="21" t="s">
        <v>421</v>
      </c>
      <c r="M8" s="25" t="s">
        <v>415</v>
      </c>
    </row>
    <row r="27" ht="16.149999999999999" customHeight="1" x14ac:dyDescent="0.25"/>
    <row r="83" spans="1:1" x14ac:dyDescent="0.25">
      <c r="A83" s="22"/>
    </row>
  </sheetData>
  <hyperlinks>
    <hyperlink ref="D1" r:id="rId1" display="https://connext.conti.de/search/web/search?scope=profiles&amp;pageSize={pageSize}&amp;page={page}&amp;constraint={&quot;type&quot;:&quot;category&quot;,&quot;values&quot;:[&quot;Tag/claim_manager&quot;]}" xr:uid="{B230F7E5-A2A0-45D1-90BF-E30FB86A625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42" r:id="rId5" name="Button 218">
              <controlPr defaultSize="0" print="0" autoFill="0" autoPict="0" macro="[0]!CN_ExportProfilesToCurrent">
                <anchor moveWithCells="1">
                  <from>
                    <xdr:col>0</xdr:col>
                    <xdr:colOff>19050</xdr:colOff>
                    <xdr:row>1</xdr:row>
                    <xdr:rowOff>19050</xdr:rowOff>
                  </from>
                  <to>
                    <xdr:col>0</xdr:col>
                    <xdr:colOff>561975</xdr:colOff>
                    <xdr:row>2</xdr:row>
                    <xdr:rowOff>47625</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92D050"/>
  </sheetPr>
  <dimension ref="A1:E24"/>
  <sheetViews>
    <sheetView workbookViewId="0">
      <selection activeCell="A6" sqref="A6"/>
    </sheetView>
  </sheetViews>
  <sheetFormatPr defaultRowHeight="15" x14ac:dyDescent="0.25"/>
  <cols>
    <col min="1" max="1" width="14" bestFit="1" customWidth="1"/>
    <col min="2" max="2" width="10.7109375" bestFit="1" customWidth="1"/>
    <col min="3" max="3" width="8.140625" bestFit="1" customWidth="1"/>
    <col min="4" max="4" width="14.140625" bestFit="1" customWidth="1"/>
  </cols>
  <sheetData>
    <row r="1" spans="1:5" x14ac:dyDescent="0.25">
      <c r="A1" t="s">
        <v>31</v>
      </c>
      <c r="B1" t="s">
        <v>45</v>
      </c>
      <c r="D1" s="18" t="s">
        <v>231</v>
      </c>
      <c r="E1" t="s">
        <v>30</v>
      </c>
    </row>
    <row r="2" spans="1:5" x14ac:dyDescent="0.25">
      <c r="A2" t="s">
        <v>1</v>
      </c>
      <c r="B2" t="s">
        <v>41</v>
      </c>
      <c r="D2" s="18" t="s">
        <v>232</v>
      </c>
      <c r="E2" t="s">
        <v>29</v>
      </c>
    </row>
    <row r="3" spans="1:5" x14ac:dyDescent="0.25">
      <c r="A3" t="s">
        <v>150</v>
      </c>
      <c r="B3" t="s">
        <v>44</v>
      </c>
    </row>
    <row r="4" spans="1:5" x14ac:dyDescent="0.25">
      <c r="A4" t="s">
        <v>1</v>
      </c>
      <c r="B4" t="s">
        <v>40</v>
      </c>
    </row>
    <row r="6" spans="1:5" x14ac:dyDescent="0.25">
      <c r="A6" t="s">
        <v>219</v>
      </c>
      <c r="B6" t="s">
        <v>46</v>
      </c>
      <c r="C6" t="s">
        <v>45</v>
      </c>
    </row>
    <row r="7" spans="1:5" x14ac:dyDescent="0.25">
      <c r="A7" t="s">
        <v>28</v>
      </c>
      <c r="C7" t="s">
        <v>41</v>
      </c>
    </row>
    <row r="8" spans="1:5" x14ac:dyDescent="0.25">
      <c r="A8" t="s">
        <v>27</v>
      </c>
      <c r="C8" t="s">
        <v>41</v>
      </c>
    </row>
    <row r="9" spans="1:5" x14ac:dyDescent="0.25">
      <c r="A9" t="s">
        <v>25</v>
      </c>
      <c r="C9" t="s">
        <v>41</v>
      </c>
    </row>
    <row r="10" spans="1:5" x14ac:dyDescent="0.25">
      <c r="A10" t="s">
        <v>24</v>
      </c>
      <c r="B10" t="s">
        <v>43</v>
      </c>
      <c r="C10" t="s">
        <v>41</v>
      </c>
    </row>
    <row r="11" spans="1:5" x14ac:dyDescent="0.25">
      <c r="A11" t="s">
        <v>23</v>
      </c>
      <c r="C11" t="s">
        <v>41</v>
      </c>
    </row>
    <row r="12" spans="1:5" x14ac:dyDescent="0.25">
      <c r="A12" t="s">
        <v>22</v>
      </c>
      <c r="B12" t="s">
        <v>22</v>
      </c>
      <c r="C12" t="s">
        <v>41</v>
      </c>
    </row>
    <row r="13" spans="1:5" x14ac:dyDescent="0.25">
      <c r="A13" t="s">
        <v>32</v>
      </c>
      <c r="C13" t="s">
        <v>41</v>
      </c>
    </row>
    <row r="14" spans="1:5" x14ac:dyDescent="0.25">
      <c r="A14" t="s">
        <v>26</v>
      </c>
      <c r="C14" t="s">
        <v>41</v>
      </c>
    </row>
    <row r="15" spans="1:5" x14ac:dyDescent="0.25">
      <c r="A15" t="s">
        <v>234</v>
      </c>
      <c r="B15" t="s">
        <v>118</v>
      </c>
      <c r="C15" t="s">
        <v>41</v>
      </c>
    </row>
    <row r="16" spans="1:5" x14ac:dyDescent="0.25">
      <c r="A16" s="15" t="s">
        <v>9</v>
      </c>
      <c r="B16" t="s">
        <v>9</v>
      </c>
      <c r="C16" t="s">
        <v>40</v>
      </c>
    </row>
    <row r="17" spans="1:3" x14ac:dyDescent="0.25">
      <c r="A17" s="15" t="s">
        <v>235</v>
      </c>
      <c r="B17" t="s">
        <v>235</v>
      </c>
    </row>
    <row r="18" spans="1:3" x14ac:dyDescent="0.25">
      <c r="A18" s="15" t="s">
        <v>221</v>
      </c>
      <c r="B18" t="s">
        <v>2</v>
      </c>
      <c r="C18" t="s">
        <v>40</v>
      </c>
    </row>
    <row r="19" spans="1:3" x14ac:dyDescent="0.25">
      <c r="A19" s="15" t="s">
        <v>220</v>
      </c>
      <c r="C19" t="s">
        <v>40</v>
      </c>
    </row>
    <row r="20" spans="1:3" x14ac:dyDescent="0.25">
      <c r="A20" s="15" t="s">
        <v>233</v>
      </c>
      <c r="B20" t="s">
        <v>233</v>
      </c>
      <c r="C20" t="s">
        <v>40</v>
      </c>
    </row>
    <row r="21" spans="1:3" x14ac:dyDescent="0.25">
      <c r="A21" t="s">
        <v>22</v>
      </c>
      <c r="C21" t="s">
        <v>44</v>
      </c>
    </row>
    <row r="22" spans="1:3" x14ac:dyDescent="0.25">
      <c r="A22" t="s">
        <v>43</v>
      </c>
      <c r="C22" t="s">
        <v>44</v>
      </c>
    </row>
    <row r="23" spans="1:3" x14ac:dyDescent="0.25">
      <c r="A23" s="38" t="s">
        <v>160</v>
      </c>
      <c r="B23" t="s">
        <v>42</v>
      </c>
      <c r="C23" t="s">
        <v>44</v>
      </c>
    </row>
    <row r="24" spans="1:3" x14ac:dyDescent="0.25">
      <c r="A24" t="s">
        <v>150</v>
      </c>
      <c r="B24" t="s">
        <v>427</v>
      </c>
      <c r="C24" t="s">
        <v>44</v>
      </c>
    </row>
  </sheetData>
  <pageMargins left="0.7" right="0.7" top="0.75" bottom="0.75" header="0.3" footer="0.3"/>
  <pageSetup paperSize="9" orientation="portrait" r:id="rId1"/>
  <legacy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4EBF9-26B5-408C-B054-A9D8AD54EA3E}">
  <sheetPr codeName="Sheet6">
    <tabColor rgb="FF92D050"/>
  </sheetPr>
  <dimension ref="A1:D4"/>
  <sheetViews>
    <sheetView workbookViewId="0">
      <selection activeCell="B3" sqref="B3"/>
    </sheetView>
  </sheetViews>
  <sheetFormatPr defaultRowHeight="15" x14ac:dyDescent="0.25"/>
  <sheetData>
    <row r="1" spans="1:4" x14ac:dyDescent="0.25">
      <c r="A1" t="s">
        <v>228</v>
      </c>
      <c r="B1" t="s">
        <v>229</v>
      </c>
    </row>
    <row r="2" spans="1:4" x14ac:dyDescent="0.25">
      <c r="A2" t="s">
        <v>222</v>
      </c>
      <c r="B2" s="16">
        <v>5</v>
      </c>
    </row>
    <row r="3" spans="1:4" x14ac:dyDescent="0.25">
      <c r="A3" t="s">
        <v>223</v>
      </c>
      <c r="B3" s="5" t="s">
        <v>225</v>
      </c>
    </row>
    <row r="4" spans="1:4" x14ac:dyDescent="0.25">
      <c r="A4" t="s">
        <v>224</v>
      </c>
      <c r="B4" s="5" t="s">
        <v>241</v>
      </c>
      <c r="C4" s="5" t="s">
        <v>226</v>
      </c>
      <c r="D4" s="5" t="s">
        <v>227</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4"/>
  <sheetViews>
    <sheetView workbookViewId="0">
      <selection activeCell="A3" sqref="A3:XFD6"/>
    </sheetView>
  </sheetViews>
  <sheetFormatPr defaultRowHeight="15" x14ac:dyDescent="0.25"/>
  <cols>
    <col min="2" max="2" width="45.28515625" bestFit="1" customWidth="1"/>
    <col min="3" max="3" width="17.42578125" bestFit="1" customWidth="1"/>
    <col min="4" max="4" width="19.85546875" bestFit="1" customWidth="1"/>
  </cols>
  <sheetData>
    <row r="1" spans="1:4" x14ac:dyDescent="0.25">
      <c r="A1" t="s">
        <v>34</v>
      </c>
      <c r="B1" s="8" t="s">
        <v>242</v>
      </c>
    </row>
    <row r="2" spans="1:4" x14ac:dyDescent="0.25">
      <c r="B2" t="s">
        <v>1</v>
      </c>
      <c r="C2" t="s">
        <v>2</v>
      </c>
      <c r="D2" s="3" t="s">
        <v>3</v>
      </c>
    </row>
    <row r="3" spans="1:4" x14ac:dyDescent="0.25">
      <c r="B3" s="1" t="s">
        <v>11</v>
      </c>
      <c r="C3" t="s">
        <v>12</v>
      </c>
      <c r="D3" s="4" t="str">
        <f>HYPERLINK("http://connext.conti.de/profiles/html/profileView.do?email="&amp;AttendeesTable[[#This Row],[email]],"Link")</f>
        <v>Link</v>
      </c>
    </row>
    <row r="4" spans="1:4" x14ac:dyDescent="0.25">
      <c r="B4" s="1" t="s">
        <v>4</v>
      </c>
      <c r="C4" t="s">
        <v>5</v>
      </c>
      <c r="D4" s="4" t="str">
        <f>HYPERLINK("http://connext.conti.de/profiles/html/profileView.do?email="&amp;AttendeesTable[[#This Row],[email]],"Link")</f>
        <v>Link</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N_ExportEventAttendees" altText="Run Export ConNext Profiles based on search query.">
                <anchor moveWithCells="1">
                  <from>
                    <xdr:col>0</xdr:col>
                    <xdr:colOff>47625</xdr:colOff>
                    <xdr:row>1</xdr:row>
                    <xdr:rowOff>38100</xdr:rowOff>
                  </from>
                  <to>
                    <xdr:col>0</xdr:col>
                    <xdr:colOff>561975</xdr:colOff>
                    <xdr:row>2</xdr:row>
                    <xdr:rowOff>76200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F182"/>
  <sheetViews>
    <sheetView topLeftCell="A41" zoomScale="80" zoomScaleNormal="80" workbookViewId="0">
      <selection activeCell="C225" sqref="C225:C227"/>
    </sheetView>
  </sheetViews>
  <sheetFormatPr defaultRowHeight="15" x14ac:dyDescent="0.25"/>
  <cols>
    <col min="1" max="1" width="67.28515625" bestFit="1" customWidth="1"/>
    <col min="2" max="2" width="81.140625" bestFit="1" customWidth="1"/>
    <col min="3" max="3" width="44.5703125" bestFit="1" customWidth="1"/>
    <col min="4" max="4" width="20.7109375" bestFit="1" customWidth="1"/>
    <col min="5" max="5" width="26.28515625" bestFit="1" customWidth="1"/>
    <col min="6" max="6" width="81.140625" customWidth="1"/>
    <col min="7" max="7" width="80.85546875" bestFit="1" customWidth="1"/>
  </cols>
  <sheetData>
    <row r="1" spans="1:6" x14ac:dyDescent="0.25">
      <c r="A1" t="s">
        <v>36</v>
      </c>
      <c r="B1" t="s">
        <v>290</v>
      </c>
      <c r="C1" t="s">
        <v>37</v>
      </c>
      <c r="D1" t="s">
        <v>38</v>
      </c>
      <c r="E1" t="s">
        <v>35</v>
      </c>
      <c r="F1" t="s">
        <v>39</v>
      </c>
    </row>
    <row r="2" spans="1:6" x14ac:dyDescent="0.25">
      <c r="A2" t="s">
        <v>248</v>
      </c>
      <c r="B2" t="s">
        <v>291</v>
      </c>
      <c r="C2" t="s">
        <v>4</v>
      </c>
      <c r="D2" t="s">
        <v>5</v>
      </c>
      <c r="E2" s="7" t="s">
        <v>249</v>
      </c>
      <c r="F2" t="s">
        <v>250</v>
      </c>
    </row>
    <row r="3" spans="1:6" hidden="1" x14ac:dyDescent="0.25">
      <c r="A3" t="s">
        <v>248</v>
      </c>
      <c r="B3" t="s">
        <v>292</v>
      </c>
      <c r="C3" t="s">
        <v>4</v>
      </c>
      <c r="D3" t="s">
        <v>5</v>
      </c>
      <c r="E3" s="7" t="s">
        <v>249</v>
      </c>
      <c r="F3" t="s">
        <v>250</v>
      </c>
    </row>
    <row r="4" spans="1:6" hidden="1" x14ac:dyDescent="0.25">
      <c r="A4" t="s">
        <v>248</v>
      </c>
      <c r="B4" t="s">
        <v>293</v>
      </c>
      <c r="C4" t="s">
        <v>4</v>
      </c>
      <c r="D4" t="s">
        <v>5</v>
      </c>
      <c r="E4" s="7" t="s">
        <v>249</v>
      </c>
      <c r="F4" t="s">
        <v>250</v>
      </c>
    </row>
    <row r="5" spans="1:6" hidden="1" x14ac:dyDescent="0.25">
      <c r="A5" t="s">
        <v>248</v>
      </c>
      <c r="B5" t="s">
        <v>294</v>
      </c>
      <c r="C5" t="s">
        <v>4</v>
      </c>
      <c r="D5" t="s">
        <v>5</v>
      </c>
      <c r="E5" s="7" t="s">
        <v>249</v>
      </c>
      <c r="F5" t="s">
        <v>250</v>
      </c>
    </row>
    <row r="6" spans="1:6" hidden="1" x14ac:dyDescent="0.25">
      <c r="A6" t="s">
        <v>248</v>
      </c>
      <c r="B6" t="s">
        <v>295</v>
      </c>
      <c r="C6" t="s">
        <v>4</v>
      </c>
      <c r="D6" t="s">
        <v>5</v>
      </c>
      <c r="E6" s="7" t="s">
        <v>249</v>
      </c>
      <c r="F6" t="s">
        <v>250</v>
      </c>
    </row>
    <row r="7" spans="1:6" hidden="1" x14ac:dyDescent="0.25">
      <c r="A7" t="s">
        <v>248</v>
      </c>
      <c r="B7" t="s">
        <v>296</v>
      </c>
      <c r="C7" t="s">
        <v>4</v>
      </c>
      <c r="D7" t="s">
        <v>5</v>
      </c>
      <c r="E7" s="7" t="s">
        <v>249</v>
      </c>
      <c r="F7" t="s">
        <v>250</v>
      </c>
    </row>
    <row r="8" spans="1:6" hidden="1" x14ac:dyDescent="0.25">
      <c r="A8" t="s">
        <v>248</v>
      </c>
      <c r="B8" t="s">
        <v>297</v>
      </c>
      <c r="C8" t="s">
        <v>4</v>
      </c>
      <c r="D8" t="s">
        <v>5</v>
      </c>
      <c r="E8" s="7" t="s">
        <v>249</v>
      </c>
      <c r="F8" t="s">
        <v>250</v>
      </c>
    </row>
    <row r="9" spans="1:6" hidden="1" x14ac:dyDescent="0.25">
      <c r="A9" t="s">
        <v>248</v>
      </c>
      <c r="B9" t="s">
        <v>298</v>
      </c>
      <c r="C9" t="s">
        <v>4</v>
      </c>
      <c r="D9" t="s">
        <v>5</v>
      </c>
      <c r="E9" s="7" t="s">
        <v>249</v>
      </c>
      <c r="F9" t="s">
        <v>250</v>
      </c>
    </row>
    <row r="10" spans="1:6" hidden="1" x14ac:dyDescent="0.25">
      <c r="A10" t="s">
        <v>248</v>
      </c>
      <c r="B10" t="s">
        <v>299</v>
      </c>
      <c r="C10" t="s">
        <v>4</v>
      </c>
      <c r="D10" t="s">
        <v>5</v>
      </c>
      <c r="E10" s="7" t="s">
        <v>249</v>
      </c>
      <c r="F10" t="s">
        <v>250</v>
      </c>
    </row>
    <row r="11" spans="1:6" x14ac:dyDescent="0.25">
      <c r="A11" t="s">
        <v>251</v>
      </c>
      <c r="B11" t="s">
        <v>300</v>
      </c>
      <c r="C11" t="s">
        <v>4</v>
      </c>
      <c r="D11" t="s">
        <v>5</v>
      </c>
      <c r="E11" s="7" t="s">
        <v>252</v>
      </c>
      <c r="F11" t="s">
        <v>253</v>
      </c>
    </row>
    <row r="12" spans="1:6" hidden="1" x14ac:dyDescent="0.25">
      <c r="A12" t="s">
        <v>251</v>
      </c>
      <c r="B12" t="s">
        <v>301</v>
      </c>
      <c r="C12" t="s">
        <v>4</v>
      </c>
      <c r="D12" t="s">
        <v>5</v>
      </c>
      <c r="E12" s="7" t="s">
        <v>252</v>
      </c>
      <c r="F12" t="s">
        <v>253</v>
      </c>
    </row>
    <row r="13" spans="1:6" hidden="1" x14ac:dyDescent="0.25">
      <c r="A13" t="s">
        <v>251</v>
      </c>
      <c r="B13" t="s">
        <v>302</v>
      </c>
      <c r="C13" t="s">
        <v>4</v>
      </c>
      <c r="D13" t="s">
        <v>5</v>
      </c>
      <c r="E13" s="7" t="s">
        <v>252</v>
      </c>
      <c r="F13" t="s">
        <v>253</v>
      </c>
    </row>
    <row r="14" spans="1:6" hidden="1" x14ac:dyDescent="0.25">
      <c r="A14" t="s">
        <v>251</v>
      </c>
      <c r="B14" t="s">
        <v>303</v>
      </c>
      <c r="C14" t="s">
        <v>4</v>
      </c>
      <c r="D14" t="s">
        <v>5</v>
      </c>
      <c r="E14" s="7" t="s">
        <v>252</v>
      </c>
      <c r="F14" t="s">
        <v>253</v>
      </c>
    </row>
    <row r="15" spans="1:6" hidden="1" x14ac:dyDescent="0.25">
      <c r="A15" t="s">
        <v>251</v>
      </c>
      <c r="B15" t="s">
        <v>304</v>
      </c>
      <c r="C15" t="s">
        <v>4</v>
      </c>
      <c r="D15" t="s">
        <v>5</v>
      </c>
      <c r="E15" s="7" t="s">
        <v>252</v>
      </c>
      <c r="F15" t="s">
        <v>253</v>
      </c>
    </row>
    <row r="16" spans="1:6" hidden="1" x14ac:dyDescent="0.25">
      <c r="A16" t="s">
        <v>251</v>
      </c>
      <c r="B16" t="s">
        <v>297</v>
      </c>
      <c r="C16" t="s">
        <v>4</v>
      </c>
      <c r="D16" t="s">
        <v>5</v>
      </c>
      <c r="E16" s="7" t="s">
        <v>252</v>
      </c>
      <c r="F16" t="s">
        <v>253</v>
      </c>
    </row>
    <row r="17" spans="1:6" hidden="1" x14ac:dyDescent="0.25">
      <c r="A17" t="s">
        <v>251</v>
      </c>
      <c r="B17" t="s">
        <v>305</v>
      </c>
      <c r="C17" t="s">
        <v>4</v>
      </c>
      <c r="D17" t="s">
        <v>5</v>
      </c>
      <c r="E17" s="7" t="s">
        <v>252</v>
      </c>
      <c r="F17" t="s">
        <v>253</v>
      </c>
    </row>
    <row r="18" spans="1:6" hidden="1" x14ac:dyDescent="0.25">
      <c r="A18" t="s">
        <v>251</v>
      </c>
      <c r="B18" t="s">
        <v>306</v>
      </c>
      <c r="C18" t="s">
        <v>4</v>
      </c>
      <c r="D18" t="s">
        <v>5</v>
      </c>
      <c r="E18" s="7" t="s">
        <v>252</v>
      </c>
      <c r="F18" t="s">
        <v>253</v>
      </c>
    </row>
    <row r="19" spans="1:6" hidden="1" x14ac:dyDescent="0.25">
      <c r="A19" t="s">
        <v>251</v>
      </c>
      <c r="B19" t="s">
        <v>307</v>
      </c>
      <c r="C19" t="s">
        <v>4</v>
      </c>
      <c r="D19" t="s">
        <v>5</v>
      </c>
      <c r="E19" s="7" t="s">
        <v>252</v>
      </c>
      <c r="F19" t="s">
        <v>253</v>
      </c>
    </row>
    <row r="20" spans="1:6" hidden="1" x14ac:dyDescent="0.25">
      <c r="A20" t="s">
        <v>251</v>
      </c>
      <c r="B20" t="s">
        <v>308</v>
      </c>
      <c r="C20" t="s">
        <v>4</v>
      </c>
      <c r="D20" t="s">
        <v>5</v>
      </c>
      <c r="E20" s="7" t="s">
        <v>252</v>
      </c>
      <c r="F20" t="s">
        <v>253</v>
      </c>
    </row>
    <row r="21" spans="1:6" hidden="1" x14ac:dyDescent="0.25">
      <c r="A21" t="s">
        <v>251</v>
      </c>
      <c r="B21" t="s">
        <v>309</v>
      </c>
      <c r="C21" t="s">
        <v>4</v>
      </c>
      <c r="D21" t="s">
        <v>5</v>
      </c>
      <c r="E21" s="7" t="s">
        <v>252</v>
      </c>
      <c r="F21" t="s">
        <v>253</v>
      </c>
    </row>
    <row r="22" spans="1:6" hidden="1" x14ac:dyDescent="0.25">
      <c r="A22" t="s">
        <v>251</v>
      </c>
      <c r="B22" t="s">
        <v>310</v>
      </c>
      <c r="C22" t="s">
        <v>4</v>
      </c>
      <c r="D22" t="s">
        <v>5</v>
      </c>
      <c r="E22" s="7" t="s">
        <v>252</v>
      </c>
      <c r="F22" t="s">
        <v>253</v>
      </c>
    </row>
    <row r="23" spans="1:6" hidden="1" x14ac:dyDescent="0.25">
      <c r="A23" t="s">
        <v>251</v>
      </c>
      <c r="B23" t="s">
        <v>299</v>
      </c>
      <c r="C23" t="s">
        <v>4</v>
      </c>
      <c r="D23" t="s">
        <v>5</v>
      </c>
      <c r="E23" s="7" t="s">
        <v>252</v>
      </c>
      <c r="F23" t="s">
        <v>253</v>
      </c>
    </row>
    <row r="24" spans="1:6" hidden="1" x14ac:dyDescent="0.25">
      <c r="A24" t="s">
        <v>251</v>
      </c>
      <c r="B24" t="s">
        <v>311</v>
      </c>
      <c r="C24" t="s">
        <v>4</v>
      </c>
      <c r="D24" t="s">
        <v>5</v>
      </c>
      <c r="E24" s="7" t="s">
        <v>252</v>
      </c>
      <c r="F24" t="s">
        <v>253</v>
      </c>
    </row>
    <row r="25" spans="1:6" hidden="1" x14ac:dyDescent="0.25">
      <c r="A25" t="s">
        <v>251</v>
      </c>
      <c r="B25" t="s">
        <v>312</v>
      </c>
      <c r="C25" t="s">
        <v>4</v>
      </c>
      <c r="D25" t="s">
        <v>5</v>
      </c>
      <c r="E25" s="7" t="s">
        <v>252</v>
      </c>
      <c r="F25" t="s">
        <v>253</v>
      </c>
    </row>
    <row r="26" spans="1:6" x14ac:dyDescent="0.25">
      <c r="A26" t="s">
        <v>254</v>
      </c>
      <c r="B26" t="s">
        <v>313</v>
      </c>
      <c r="C26" t="s">
        <v>4</v>
      </c>
      <c r="D26" t="s">
        <v>5</v>
      </c>
      <c r="E26" s="7" t="s">
        <v>255</v>
      </c>
      <c r="F26" t="s">
        <v>256</v>
      </c>
    </row>
    <row r="27" spans="1:6" hidden="1" x14ac:dyDescent="0.25">
      <c r="A27" t="s">
        <v>254</v>
      </c>
      <c r="B27" t="s">
        <v>314</v>
      </c>
      <c r="C27" t="s">
        <v>4</v>
      </c>
      <c r="D27" t="s">
        <v>5</v>
      </c>
      <c r="E27" s="7" t="s">
        <v>255</v>
      </c>
      <c r="F27" t="s">
        <v>256</v>
      </c>
    </row>
    <row r="28" spans="1:6" hidden="1" x14ac:dyDescent="0.25">
      <c r="A28" t="s">
        <v>254</v>
      </c>
      <c r="B28" t="s">
        <v>315</v>
      </c>
      <c r="C28" t="s">
        <v>4</v>
      </c>
      <c r="D28" t="s">
        <v>5</v>
      </c>
      <c r="E28" s="7" t="s">
        <v>255</v>
      </c>
      <c r="F28" t="s">
        <v>256</v>
      </c>
    </row>
    <row r="29" spans="1:6" hidden="1" x14ac:dyDescent="0.25">
      <c r="A29" t="s">
        <v>254</v>
      </c>
      <c r="B29" t="s">
        <v>316</v>
      </c>
      <c r="C29" t="s">
        <v>4</v>
      </c>
      <c r="D29" t="s">
        <v>5</v>
      </c>
      <c r="E29" s="7" t="s">
        <v>255</v>
      </c>
      <c r="F29" t="s">
        <v>256</v>
      </c>
    </row>
    <row r="30" spans="1:6" hidden="1" x14ac:dyDescent="0.25">
      <c r="A30" t="s">
        <v>254</v>
      </c>
      <c r="B30" t="s">
        <v>317</v>
      </c>
      <c r="C30" t="s">
        <v>4</v>
      </c>
      <c r="D30" t="s">
        <v>5</v>
      </c>
      <c r="E30" s="7" t="s">
        <v>255</v>
      </c>
      <c r="F30" t="s">
        <v>256</v>
      </c>
    </row>
    <row r="31" spans="1:6" hidden="1" x14ac:dyDescent="0.25">
      <c r="A31" t="s">
        <v>254</v>
      </c>
      <c r="B31" t="s">
        <v>318</v>
      </c>
      <c r="C31" t="s">
        <v>4</v>
      </c>
      <c r="D31" t="s">
        <v>5</v>
      </c>
      <c r="E31" s="7" t="s">
        <v>255</v>
      </c>
      <c r="F31" t="s">
        <v>256</v>
      </c>
    </row>
    <row r="32" spans="1:6" hidden="1" x14ac:dyDescent="0.25">
      <c r="A32" t="s">
        <v>254</v>
      </c>
      <c r="B32" t="s">
        <v>297</v>
      </c>
      <c r="C32" t="s">
        <v>4</v>
      </c>
      <c r="D32" t="s">
        <v>5</v>
      </c>
      <c r="E32" s="7" t="s">
        <v>255</v>
      </c>
      <c r="F32" t="s">
        <v>256</v>
      </c>
    </row>
    <row r="33" spans="1:6" hidden="1" x14ac:dyDescent="0.25">
      <c r="A33" t="s">
        <v>254</v>
      </c>
      <c r="B33" t="s">
        <v>296</v>
      </c>
      <c r="C33" t="s">
        <v>4</v>
      </c>
      <c r="D33" t="s">
        <v>5</v>
      </c>
      <c r="E33" s="7" t="s">
        <v>255</v>
      </c>
      <c r="F33" t="s">
        <v>256</v>
      </c>
    </row>
    <row r="34" spans="1:6" hidden="1" x14ac:dyDescent="0.25">
      <c r="A34" t="s">
        <v>254</v>
      </c>
      <c r="B34" t="s">
        <v>319</v>
      </c>
      <c r="C34" t="s">
        <v>4</v>
      </c>
      <c r="D34" t="s">
        <v>5</v>
      </c>
      <c r="E34" s="7" t="s">
        <v>255</v>
      </c>
      <c r="F34" t="s">
        <v>256</v>
      </c>
    </row>
    <row r="35" spans="1:6" hidden="1" x14ac:dyDescent="0.25">
      <c r="A35" t="s">
        <v>254</v>
      </c>
      <c r="B35" t="s">
        <v>320</v>
      </c>
      <c r="C35" t="s">
        <v>4</v>
      </c>
      <c r="D35" t="s">
        <v>5</v>
      </c>
      <c r="E35" s="7" t="s">
        <v>255</v>
      </c>
      <c r="F35" t="s">
        <v>256</v>
      </c>
    </row>
    <row r="36" spans="1:6" hidden="1" x14ac:dyDescent="0.25">
      <c r="A36" t="s">
        <v>254</v>
      </c>
      <c r="B36" t="s">
        <v>299</v>
      </c>
      <c r="C36" t="s">
        <v>4</v>
      </c>
      <c r="D36" t="s">
        <v>5</v>
      </c>
      <c r="E36" s="7" t="s">
        <v>255</v>
      </c>
      <c r="F36" t="s">
        <v>256</v>
      </c>
    </row>
    <row r="37" spans="1:6" hidden="1" x14ac:dyDescent="0.25">
      <c r="A37" t="s">
        <v>254</v>
      </c>
      <c r="B37" t="s">
        <v>310</v>
      </c>
      <c r="C37" t="s">
        <v>4</v>
      </c>
      <c r="D37" t="s">
        <v>5</v>
      </c>
      <c r="E37" s="7" t="s">
        <v>255</v>
      </c>
      <c r="F37" t="s">
        <v>256</v>
      </c>
    </row>
    <row r="38" spans="1:6" hidden="1" x14ac:dyDescent="0.25">
      <c r="A38" t="s">
        <v>254</v>
      </c>
      <c r="B38" t="s">
        <v>321</v>
      </c>
      <c r="C38" t="s">
        <v>4</v>
      </c>
      <c r="D38" t="s">
        <v>5</v>
      </c>
      <c r="E38" s="7" t="s">
        <v>255</v>
      </c>
      <c r="F38" t="s">
        <v>256</v>
      </c>
    </row>
    <row r="39" spans="1:6" hidden="1" x14ac:dyDescent="0.25">
      <c r="A39" t="s">
        <v>254</v>
      </c>
      <c r="B39" t="s">
        <v>322</v>
      </c>
      <c r="C39" t="s">
        <v>4</v>
      </c>
      <c r="D39" t="s">
        <v>5</v>
      </c>
      <c r="E39" s="7" t="s">
        <v>255</v>
      </c>
      <c r="F39" t="s">
        <v>256</v>
      </c>
    </row>
    <row r="40" spans="1:6" hidden="1" x14ac:dyDescent="0.25">
      <c r="A40" t="s">
        <v>254</v>
      </c>
      <c r="B40" t="s">
        <v>323</v>
      </c>
      <c r="C40" t="s">
        <v>4</v>
      </c>
      <c r="D40" t="s">
        <v>5</v>
      </c>
      <c r="E40" s="7" t="s">
        <v>255</v>
      </c>
      <c r="F40" t="s">
        <v>256</v>
      </c>
    </row>
    <row r="41" spans="1:6" x14ac:dyDescent="0.25">
      <c r="A41" t="s">
        <v>257</v>
      </c>
      <c r="B41" t="s">
        <v>324</v>
      </c>
      <c r="C41" t="s">
        <v>4</v>
      </c>
      <c r="D41" t="s">
        <v>5</v>
      </c>
      <c r="E41" s="7" t="s">
        <v>258</v>
      </c>
      <c r="F41" t="s">
        <v>259</v>
      </c>
    </row>
    <row r="42" spans="1:6" hidden="1" x14ac:dyDescent="0.25">
      <c r="A42" t="s">
        <v>257</v>
      </c>
      <c r="B42" t="s">
        <v>325</v>
      </c>
      <c r="C42" t="s">
        <v>4</v>
      </c>
      <c r="D42" t="s">
        <v>5</v>
      </c>
      <c r="E42" s="7" t="s">
        <v>258</v>
      </c>
      <c r="F42" t="s">
        <v>259</v>
      </c>
    </row>
    <row r="43" spans="1:6" hidden="1" x14ac:dyDescent="0.25">
      <c r="A43" t="s">
        <v>257</v>
      </c>
      <c r="B43" t="s">
        <v>326</v>
      </c>
      <c r="C43" t="s">
        <v>4</v>
      </c>
      <c r="D43" t="s">
        <v>5</v>
      </c>
      <c r="E43" s="7" t="s">
        <v>258</v>
      </c>
      <c r="F43" t="s">
        <v>259</v>
      </c>
    </row>
    <row r="44" spans="1:6" hidden="1" x14ac:dyDescent="0.25">
      <c r="A44" t="s">
        <v>257</v>
      </c>
      <c r="B44" t="s">
        <v>327</v>
      </c>
      <c r="C44" t="s">
        <v>4</v>
      </c>
      <c r="D44" t="s">
        <v>5</v>
      </c>
      <c r="E44" s="7" t="s">
        <v>258</v>
      </c>
      <c r="F44" t="s">
        <v>259</v>
      </c>
    </row>
    <row r="45" spans="1:6" hidden="1" x14ac:dyDescent="0.25">
      <c r="A45" t="s">
        <v>257</v>
      </c>
      <c r="B45" t="s">
        <v>328</v>
      </c>
      <c r="C45" t="s">
        <v>4</v>
      </c>
      <c r="D45" t="s">
        <v>5</v>
      </c>
      <c r="E45" s="7" t="s">
        <v>258</v>
      </c>
      <c r="F45" t="s">
        <v>259</v>
      </c>
    </row>
    <row r="46" spans="1:6" hidden="1" x14ac:dyDescent="0.25">
      <c r="A46" t="s">
        <v>257</v>
      </c>
      <c r="B46" t="s">
        <v>310</v>
      </c>
      <c r="C46" t="s">
        <v>4</v>
      </c>
      <c r="D46" t="s">
        <v>5</v>
      </c>
      <c r="E46" s="7" t="s">
        <v>258</v>
      </c>
      <c r="F46" t="s">
        <v>259</v>
      </c>
    </row>
    <row r="47" spans="1:6" hidden="1" x14ac:dyDescent="0.25">
      <c r="A47" t="s">
        <v>257</v>
      </c>
      <c r="B47" t="s">
        <v>299</v>
      </c>
      <c r="C47" t="s">
        <v>4</v>
      </c>
      <c r="D47" t="s">
        <v>5</v>
      </c>
      <c r="E47" s="7" t="s">
        <v>258</v>
      </c>
      <c r="F47" t="s">
        <v>259</v>
      </c>
    </row>
    <row r="48" spans="1:6" hidden="1" x14ac:dyDescent="0.25">
      <c r="A48" t="s">
        <v>257</v>
      </c>
      <c r="B48" t="s">
        <v>329</v>
      </c>
      <c r="C48" t="s">
        <v>4</v>
      </c>
      <c r="D48" t="s">
        <v>5</v>
      </c>
      <c r="E48" s="7" t="s">
        <v>258</v>
      </c>
      <c r="F48" t="s">
        <v>259</v>
      </c>
    </row>
    <row r="49" spans="1:6" hidden="1" x14ac:dyDescent="0.25">
      <c r="A49" t="s">
        <v>257</v>
      </c>
      <c r="B49" t="s">
        <v>330</v>
      </c>
      <c r="C49" t="s">
        <v>4</v>
      </c>
      <c r="D49" t="s">
        <v>5</v>
      </c>
      <c r="E49" s="7" t="s">
        <v>258</v>
      </c>
      <c r="F49" t="s">
        <v>259</v>
      </c>
    </row>
    <row r="50" spans="1:6" hidden="1" x14ac:dyDescent="0.25">
      <c r="A50" t="s">
        <v>257</v>
      </c>
      <c r="B50" t="s">
        <v>297</v>
      </c>
      <c r="C50" t="s">
        <v>4</v>
      </c>
      <c r="D50" t="s">
        <v>5</v>
      </c>
      <c r="E50" s="7" t="s">
        <v>258</v>
      </c>
      <c r="F50" t="s">
        <v>259</v>
      </c>
    </row>
    <row r="51" spans="1:6" hidden="1" x14ac:dyDescent="0.25">
      <c r="A51" t="s">
        <v>257</v>
      </c>
      <c r="B51" t="s">
        <v>331</v>
      </c>
      <c r="C51" t="s">
        <v>4</v>
      </c>
      <c r="D51" t="s">
        <v>5</v>
      </c>
      <c r="E51" s="7" t="s">
        <v>258</v>
      </c>
      <c r="F51" t="s">
        <v>259</v>
      </c>
    </row>
    <row r="52" spans="1:6" hidden="1" x14ac:dyDescent="0.25">
      <c r="A52" t="s">
        <v>257</v>
      </c>
      <c r="B52" t="s">
        <v>306</v>
      </c>
      <c r="C52" t="s">
        <v>4</v>
      </c>
      <c r="D52" t="s">
        <v>5</v>
      </c>
      <c r="E52" s="7" t="s">
        <v>258</v>
      </c>
      <c r="F52" t="s">
        <v>259</v>
      </c>
    </row>
    <row r="53" spans="1:6" x14ac:dyDescent="0.25">
      <c r="A53" t="s">
        <v>260</v>
      </c>
      <c r="B53" t="s">
        <v>332</v>
      </c>
      <c r="C53" t="s">
        <v>4</v>
      </c>
      <c r="D53" t="s">
        <v>5</v>
      </c>
      <c r="E53" s="7" t="s">
        <v>261</v>
      </c>
      <c r="F53" t="s">
        <v>262</v>
      </c>
    </row>
    <row r="54" spans="1:6" hidden="1" x14ac:dyDescent="0.25">
      <c r="A54" t="s">
        <v>260</v>
      </c>
      <c r="B54" t="s">
        <v>333</v>
      </c>
      <c r="C54" t="s">
        <v>4</v>
      </c>
      <c r="D54" t="s">
        <v>5</v>
      </c>
      <c r="E54" s="7" t="s">
        <v>261</v>
      </c>
      <c r="F54" t="s">
        <v>262</v>
      </c>
    </row>
    <row r="55" spans="1:6" hidden="1" x14ac:dyDescent="0.25">
      <c r="A55" t="s">
        <v>260</v>
      </c>
      <c r="B55" t="s">
        <v>334</v>
      </c>
      <c r="C55" t="s">
        <v>4</v>
      </c>
      <c r="D55" t="s">
        <v>5</v>
      </c>
      <c r="E55" s="7" t="s">
        <v>261</v>
      </c>
      <c r="F55" t="s">
        <v>262</v>
      </c>
    </row>
    <row r="56" spans="1:6" hidden="1" x14ac:dyDescent="0.25">
      <c r="A56" t="s">
        <v>260</v>
      </c>
      <c r="B56" t="s">
        <v>335</v>
      </c>
      <c r="C56" t="s">
        <v>4</v>
      </c>
      <c r="D56" t="s">
        <v>5</v>
      </c>
      <c r="E56" s="7" t="s">
        <v>261</v>
      </c>
      <c r="F56" t="s">
        <v>262</v>
      </c>
    </row>
    <row r="57" spans="1:6" hidden="1" x14ac:dyDescent="0.25">
      <c r="A57" t="s">
        <v>260</v>
      </c>
      <c r="B57" t="s">
        <v>336</v>
      </c>
      <c r="C57" t="s">
        <v>4</v>
      </c>
      <c r="D57" t="s">
        <v>5</v>
      </c>
      <c r="E57" s="7" t="s">
        <v>261</v>
      </c>
      <c r="F57" t="s">
        <v>262</v>
      </c>
    </row>
    <row r="58" spans="1:6" hidden="1" x14ac:dyDescent="0.25">
      <c r="A58" t="s">
        <v>260</v>
      </c>
      <c r="B58" t="s">
        <v>337</v>
      </c>
      <c r="C58" t="s">
        <v>4</v>
      </c>
      <c r="D58" t="s">
        <v>5</v>
      </c>
      <c r="E58" s="7" t="s">
        <v>261</v>
      </c>
      <c r="F58" t="s">
        <v>262</v>
      </c>
    </row>
    <row r="59" spans="1:6" hidden="1" x14ac:dyDescent="0.25">
      <c r="A59" t="s">
        <v>260</v>
      </c>
      <c r="B59" t="s">
        <v>338</v>
      </c>
      <c r="C59" t="s">
        <v>4</v>
      </c>
      <c r="D59" t="s">
        <v>5</v>
      </c>
      <c r="E59" s="7" t="s">
        <v>261</v>
      </c>
      <c r="F59" t="s">
        <v>262</v>
      </c>
    </row>
    <row r="60" spans="1:6" hidden="1" x14ac:dyDescent="0.25">
      <c r="A60" t="s">
        <v>260</v>
      </c>
      <c r="B60" t="s">
        <v>329</v>
      </c>
      <c r="C60" t="s">
        <v>4</v>
      </c>
      <c r="D60" t="s">
        <v>5</v>
      </c>
      <c r="E60" s="7" t="s">
        <v>261</v>
      </c>
      <c r="F60" t="s">
        <v>262</v>
      </c>
    </row>
    <row r="61" spans="1:6" hidden="1" x14ac:dyDescent="0.25">
      <c r="A61" t="s">
        <v>260</v>
      </c>
      <c r="B61" t="s">
        <v>330</v>
      </c>
      <c r="C61" t="s">
        <v>4</v>
      </c>
      <c r="D61" t="s">
        <v>5</v>
      </c>
      <c r="E61" s="7" t="s">
        <v>261</v>
      </c>
      <c r="F61" t="s">
        <v>262</v>
      </c>
    </row>
    <row r="62" spans="1:6" hidden="1" x14ac:dyDescent="0.25">
      <c r="A62" t="s">
        <v>260</v>
      </c>
      <c r="B62" t="s">
        <v>310</v>
      </c>
      <c r="C62" t="s">
        <v>4</v>
      </c>
      <c r="D62" t="s">
        <v>5</v>
      </c>
      <c r="E62" s="7" t="s">
        <v>261</v>
      </c>
      <c r="F62" t="s">
        <v>262</v>
      </c>
    </row>
    <row r="63" spans="1:6" hidden="1" x14ac:dyDescent="0.25">
      <c r="A63" t="s">
        <v>260</v>
      </c>
      <c r="B63" t="s">
        <v>297</v>
      </c>
      <c r="C63" t="s">
        <v>4</v>
      </c>
      <c r="D63" t="s">
        <v>5</v>
      </c>
      <c r="E63" s="7" t="s">
        <v>261</v>
      </c>
      <c r="F63" t="s">
        <v>262</v>
      </c>
    </row>
    <row r="64" spans="1:6" hidden="1" x14ac:dyDescent="0.25">
      <c r="A64" t="s">
        <v>260</v>
      </c>
      <c r="B64" t="s">
        <v>318</v>
      </c>
      <c r="C64" t="s">
        <v>4</v>
      </c>
      <c r="D64" t="s">
        <v>5</v>
      </c>
      <c r="E64" s="7" t="s">
        <v>261</v>
      </c>
      <c r="F64" t="s">
        <v>262</v>
      </c>
    </row>
    <row r="65" spans="1:6" hidden="1" x14ac:dyDescent="0.25">
      <c r="A65" t="s">
        <v>260</v>
      </c>
      <c r="B65" t="s">
        <v>299</v>
      </c>
      <c r="C65" t="s">
        <v>4</v>
      </c>
      <c r="D65" t="s">
        <v>5</v>
      </c>
      <c r="E65" s="7" t="s">
        <v>261</v>
      </c>
      <c r="F65" t="s">
        <v>262</v>
      </c>
    </row>
    <row r="66" spans="1:6" hidden="1" x14ac:dyDescent="0.25">
      <c r="A66" t="s">
        <v>260</v>
      </c>
      <c r="B66" t="s">
        <v>306</v>
      </c>
      <c r="C66" t="s">
        <v>4</v>
      </c>
      <c r="D66" t="s">
        <v>5</v>
      </c>
      <c r="E66" s="7" t="s">
        <v>261</v>
      </c>
      <c r="F66" t="s">
        <v>262</v>
      </c>
    </row>
    <row r="67" spans="1:6" x14ac:dyDescent="0.25">
      <c r="A67" t="s">
        <v>263</v>
      </c>
      <c r="B67" t="s">
        <v>339</v>
      </c>
      <c r="C67" t="s">
        <v>4</v>
      </c>
      <c r="D67" t="s">
        <v>5</v>
      </c>
      <c r="E67" s="7" t="s">
        <v>264</v>
      </c>
      <c r="F67" t="s">
        <v>265</v>
      </c>
    </row>
    <row r="68" spans="1:6" hidden="1" x14ac:dyDescent="0.25">
      <c r="A68" t="s">
        <v>263</v>
      </c>
      <c r="B68" t="s">
        <v>340</v>
      </c>
      <c r="C68" t="s">
        <v>4</v>
      </c>
      <c r="D68" t="s">
        <v>5</v>
      </c>
      <c r="E68" s="7" t="s">
        <v>264</v>
      </c>
      <c r="F68" t="s">
        <v>265</v>
      </c>
    </row>
    <row r="69" spans="1:6" hidden="1" x14ac:dyDescent="0.25">
      <c r="A69" t="s">
        <v>263</v>
      </c>
      <c r="B69" t="s">
        <v>341</v>
      </c>
      <c r="C69" t="s">
        <v>4</v>
      </c>
      <c r="D69" t="s">
        <v>5</v>
      </c>
      <c r="E69" s="7" t="s">
        <v>264</v>
      </c>
      <c r="F69" t="s">
        <v>265</v>
      </c>
    </row>
    <row r="70" spans="1:6" hidden="1" x14ac:dyDescent="0.25">
      <c r="A70" t="s">
        <v>263</v>
      </c>
      <c r="B70" t="s">
        <v>342</v>
      </c>
      <c r="C70" t="s">
        <v>4</v>
      </c>
      <c r="D70" t="s">
        <v>5</v>
      </c>
      <c r="E70" s="7" t="s">
        <v>264</v>
      </c>
      <c r="F70" t="s">
        <v>265</v>
      </c>
    </row>
    <row r="71" spans="1:6" hidden="1" x14ac:dyDescent="0.25">
      <c r="A71" t="s">
        <v>263</v>
      </c>
      <c r="B71" t="s">
        <v>343</v>
      </c>
      <c r="C71" t="s">
        <v>4</v>
      </c>
      <c r="D71" t="s">
        <v>5</v>
      </c>
      <c r="E71" s="7" t="s">
        <v>264</v>
      </c>
      <c r="F71" t="s">
        <v>265</v>
      </c>
    </row>
    <row r="72" spans="1:6" hidden="1" x14ac:dyDescent="0.25">
      <c r="A72" t="s">
        <v>263</v>
      </c>
      <c r="B72" t="s">
        <v>297</v>
      </c>
      <c r="C72" t="s">
        <v>4</v>
      </c>
      <c r="D72" t="s">
        <v>5</v>
      </c>
      <c r="E72" s="7" t="s">
        <v>264</v>
      </c>
      <c r="F72" t="s">
        <v>265</v>
      </c>
    </row>
    <row r="73" spans="1:6" hidden="1" x14ac:dyDescent="0.25">
      <c r="A73" t="s">
        <v>263</v>
      </c>
      <c r="B73" t="s">
        <v>329</v>
      </c>
      <c r="C73" t="s">
        <v>4</v>
      </c>
      <c r="D73" t="s">
        <v>5</v>
      </c>
      <c r="E73" s="7" t="s">
        <v>264</v>
      </c>
      <c r="F73" t="s">
        <v>265</v>
      </c>
    </row>
    <row r="74" spans="1:6" hidden="1" x14ac:dyDescent="0.25">
      <c r="A74" t="s">
        <v>263</v>
      </c>
      <c r="B74" t="s">
        <v>344</v>
      </c>
      <c r="C74" t="s">
        <v>4</v>
      </c>
      <c r="D74" t="s">
        <v>5</v>
      </c>
      <c r="E74" s="7" t="s">
        <v>264</v>
      </c>
      <c r="F74" t="s">
        <v>265</v>
      </c>
    </row>
    <row r="75" spans="1:6" hidden="1" x14ac:dyDescent="0.25">
      <c r="A75" t="s">
        <v>263</v>
      </c>
      <c r="B75" t="s">
        <v>310</v>
      </c>
      <c r="C75" t="s">
        <v>4</v>
      </c>
      <c r="D75" t="s">
        <v>5</v>
      </c>
      <c r="E75" s="7" t="s">
        <v>264</v>
      </c>
      <c r="F75" t="s">
        <v>265</v>
      </c>
    </row>
    <row r="76" spans="1:6" hidden="1" x14ac:dyDescent="0.25">
      <c r="A76" t="s">
        <v>263</v>
      </c>
      <c r="B76" t="s">
        <v>330</v>
      </c>
      <c r="C76" t="s">
        <v>4</v>
      </c>
      <c r="D76" t="s">
        <v>5</v>
      </c>
      <c r="E76" s="7" t="s">
        <v>264</v>
      </c>
      <c r="F76" t="s">
        <v>265</v>
      </c>
    </row>
    <row r="77" spans="1:6" hidden="1" x14ac:dyDescent="0.25">
      <c r="A77" t="s">
        <v>263</v>
      </c>
      <c r="B77" t="s">
        <v>299</v>
      </c>
      <c r="C77" t="s">
        <v>4</v>
      </c>
      <c r="D77" t="s">
        <v>5</v>
      </c>
      <c r="E77" s="7" t="s">
        <v>264</v>
      </c>
      <c r="F77" t="s">
        <v>265</v>
      </c>
    </row>
    <row r="78" spans="1:6" hidden="1" x14ac:dyDescent="0.25">
      <c r="A78" t="s">
        <v>263</v>
      </c>
      <c r="B78" t="s">
        <v>345</v>
      </c>
      <c r="C78" t="s">
        <v>4</v>
      </c>
      <c r="D78" t="s">
        <v>5</v>
      </c>
      <c r="E78" s="7" t="s">
        <v>264</v>
      </c>
      <c r="F78" t="s">
        <v>265</v>
      </c>
    </row>
    <row r="79" spans="1:6" x14ac:dyDescent="0.25">
      <c r="A79" t="s">
        <v>266</v>
      </c>
      <c r="B79" t="s">
        <v>346</v>
      </c>
      <c r="C79" t="s">
        <v>4</v>
      </c>
      <c r="D79" t="s">
        <v>5</v>
      </c>
      <c r="E79" s="7" t="s">
        <v>267</v>
      </c>
      <c r="F79" t="s">
        <v>268</v>
      </c>
    </row>
    <row r="80" spans="1:6" hidden="1" x14ac:dyDescent="0.25">
      <c r="A80" t="s">
        <v>266</v>
      </c>
      <c r="B80" t="s">
        <v>347</v>
      </c>
      <c r="C80" t="s">
        <v>4</v>
      </c>
      <c r="D80" t="s">
        <v>5</v>
      </c>
      <c r="E80" s="7" t="s">
        <v>267</v>
      </c>
      <c r="F80" t="s">
        <v>268</v>
      </c>
    </row>
    <row r="81" spans="1:6" hidden="1" x14ac:dyDescent="0.25">
      <c r="A81" t="s">
        <v>266</v>
      </c>
      <c r="B81" t="s">
        <v>348</v>
      </c>
      <c r="C81" t="s">
        <v>4</v>
      </c>
      <c r="D81" t="s">
        <v>5</v>
      </c>
      <c r="E81" s="7" t="s">
        <v>267</v>
      </c>
      <c r="F81" t="s">
        <v>268</v>
      </c>
    </row>
    <row r="82" spans="1:6" hidden="1" x14ac:dyDescent="0.25">
      <c r="A82" t="s">
        <v>266</v>
      </c>
      <c r="B82" t="s">
        <v>349</v>
      </c>
      <c r="C82" t="s">
        <v>4</v>
      </c>
      <c r="D82" t="s">
        <v>5</v>
      </c>
      <c r="E82" s="7" t="s">
        <v>267</v>
      </c>
      <c r="F82" t="s">
        <v>268</v>
      </c>
    </row>
    <row r="83" spans="1:6" hidden="1" x14ac:dyDescent="0.25">
      <c r="A83" t="s">
        <v>266</v>
      </c>
      <c r="B83" t="s">
        <v>350</v>
      </c>
      <c r="C83" t="s">
        <v>4</v>
      </c>
      <c r="D83" t="s">
        <v>5</v>
      </c>
      <c r="E83" s="7" t="s">
        <v>267</v>
      </c>
      <c r="F83" t="s">
        <v>268</v>
      </c>
    </row>
    <row r="84" spans="1:6" hidden="1" x14ac:dyDescent="0.25">
      <c r="A84" t="s">
        <v>266</v>
      </c>
      <c r="B84" t="s">
        <v>310</v>
      </c>
      <c r="C84" t="s">
        <v>4</v>
      </c>
      <c r="D84" t="s">
        <v>5</v>
      </c>
      <c r="E84" s="7" t="s">
        <v>267</v>
      </c>
      <c r="F84" t="s">
        <v>268</v>
      </c>
    </row>
    <row r="85" spans="1:6" hidden="1" x14ac:dyDescent="0.25">
      <c r="A85" t="s">
        <v>266</v>
      </c>
      <c r="B85" t="s">
        <v>329</v>
      </c>
      <c r="C85" t="s">
        <v>4</v>
      </c>
      <c r="D85" t="s">
        <v>5</v>
      </c>
      <c r="E85" s="7" t="s">
        <v>267</v>
      </c>
      <c r="F85" t="s">
        <v>268</v>
      </c>
    </row>
    <row r="86" spans="1:6" hidden="1" x14ac:dyDescent="0.25">
      <c r="A86" t="s">
        <v>266</v>
      </c>
      <c r="B86" t="s">
        <v>297</v>
      </c>
      <c r="C86" t="s">
        <v>4</v>
      </c>
      <c r="D86" t="s">
        <v>5</v>
      </c>
      <c r="E86" s="7" t="s">
        <v>267</v>
      </c>
      <c r="F86" t="s">
        <v>268</v>
      </c>
    </row>
    <row r="87" spans="1:6" hidden="1" x14ac:dyDescent="0.25">
      <c r="A87" t="s">
        <v>266</v>
      </c>
      <c r="B87" t="s">
        <v>296</v>
      </c>
      <c r="C87" t="s">
        <v>4</v>
      </c>
      <c r="D87" t="s">
        <v>5</v>
      </c>
      <c r="E87" s="7" t="s">
        <v>267</v>
      </c>
      <c r="F87" t="s">
        <v>268</v>
      </c>
    </row>
    <row r="88" spans="1:6" hidden="1" x14ac:dyDescent="0.25">
      <c r="A88" t="s">
        <v>266</v>
      </c>
      <c r="B88" t="s">
        <v>345</v>
      </c>
      <c r="C88" t="s">
        <v>4</v>
      </c>
      <c r="D88" t="s">
        <v>5</v>
      </c>
      <c r="E88" s="7" t="s">
        <v>267</v>
      </c>
      <c r="F88" t="s">
        <v>268</v>
      </c>
    </row>
    <row r="89" spans="1:6" hidden="1" x14ac:dyDescent="0.25">
      <c r="A89" t="s">
        <v>266</v>
      </c>
      <c r="B89" t="s">
        <v>299</v>
      </c>
      <c r="C89" t="s">
        <v>4</v>
      </c>
      <c r="D89" t="s">
        <v>5</v>
      </c>
      <c r="E89" s="7" t="s">
        <v>267</v>
      </c>
      <c r="F89" t="s">
        <v>268</v>
      </c>
    </row>
    <row r="90" spans="1:6" hidden="1" x14ac:dyDescent="0.25">
      <c r="A90" t="s">
        <v>266</v>
      </c>
      <c r="B90" t="s">
        <v>351</v>
      </c>
      <c r="C90" t="s">
        <v>4</v>
      </c>
      <c r="D90" t="s">
        <v>5</v>
      </c>
      <c r="E90" s="7" t="s">
        <v>267</v>
      </c>
      <c r="F90" t="s">
        <v>268</v>
      </c>
    </row>
    <row r="91" spans="1:6" hidden="1" x14ac:dyDescent="0.25">
      <c r="A91" t="s">
        <v>266</v>
      </c>
      <c r="B91" t="s">
        <v>321</v>
      </c>
      <c r="C91" t="s">
        <v>4</v>
      </c>
      <c r="D91" t="s">
        <v>5</v>
      </c>
      <c r="E91" s="7" t="s">
        <v>267</v>
      </c>
      <c r="F91" t="s">
        <v>268</v>
      </c>
    </row>
    <row r="92" spans="1:6" hidden="1" x14ac:dyDescent="0.25">
      <c r="A92" t="s">
        <v>266</v>
      </c>
      <c r="B92" t="s">
        <v>352</v>
      </c>
      <c r="C92" t="s">
        <v>4</v>
      </c>
      <c r="D92" t="s">
        <v>5</v>
      </c>
      <c r="E92" s="7" t="s">
        <v>267</v>
      </c>
      <c r="F92" t="s">
        <v>268</v>
      </c>
    </row>
    <row r="93" spans="1:6" hidden="1" x14ac:dyDescent="0.25">
      <c r="A93" t="s">
        <v>266</v>
      </c>
      <c r="B93" t="s">
        <v>306</v>
      </c>
      <c r="C93" t="s">
        <v>4</v>
      </c>
      <c r="D93" t="s">
        <v>5</v>
      </c>
      <c r="E93" s="7" t="s">
        <v>267</v>
      </c>
      <c r="F93" t="s">
        <v>268</v>
      </c>
    </row>
    <row r="94" spans="1:6" hidden="1" x14ac:dyDescent="0.25">
      <c r="A94" t="s">
        <v>266</v>
      </c>
      <c r="B94" t="s">
        <v>353</v>
      </c>
      <c r="C94" t="s">
        <v>4</v>
      </c>
      <c r="D94" t="s">
        <v>5</v>
      </c>
      <c r="E94" s="7" t="s">
        <v>267</v>
      </c>
      <c r="F94" t="s">
        <v>268</v>
      </c>
    </row>
    <row r="95" spans="1:6" x14ac:dyDescent="0.25">
      <c r="A95" t="s">
        <v>269</v>
      </c>
      <c r="B95" t="s">
        <v>354</v>
      </c>
      <c r="C95" t="s">
        <v>4</v>
      </c>
      <c r="D95" t="s">
        <v>5</v>
      </c>
      <c r="E95" s="7" t="s">
        <v>270</v>
      </c>
      <c r="F95" t="s">
        <v>271</v>
      </c>
    </row>
    <row r="96" spans="1:6" hidden="1" x14ac:dyDescent="0.25">
      <c r="A96" t="s">
        <v>269</v>
      </c>
      <c r="B96" t="s">
        <v>355</v>
      </c>
      <c r="C96" t="s">
        <v>4</v>
      </c>
      <c r="D96" t="s">
        <v>5</v>
      </c>
      <c r="E96" s="7" t="s">
        <v>270</v>
      </c>
      <c r="F96" t="s">
        <v>271</v>
      </c>
    </row>
    <row r="97" spans="1:6" hidden="1" x14ac:dyDescent="0.25">
      <c r="A97" t="s">
        <v>269</v>
      </c>
      <c r="B97" t="s">
        <v>356</v>
      </c>
      <c r="C97" t="s">
        <v>4</v>
      </c>
      <c r="D97" t="s">
        <v>5</v>
      </c>
      <c r="E97" s="7" t="s">
        <v>270</v>
      </c>
      <c r="F97" t="s">
        <v>271</v>
      </c>
    </row>
    <row r="98" spans="1:6" hidden="1" x14ac:dyDescent="0.25">
      <c r="A98" t="s">
        <v>269</v>
      </c>
      <c r="B98" t="s">
        <v>357</v>
      </c>
      <c r="C98" t="s">
        <v>4</v>
      </c>
      <c r="D98" t="s">
        <v>5</v>
      </c>
      <c r="E98" s="7" t="s">
        <v>270</v>
      </c>
      <c r="F98" t="s">
        <v>271</v>
      </c>
    </row>
    <row r="99" spans="1:6" hidden="1" x14ac:dyDescent="0.25">
      <c r="A99" t="s">
        <v>269</v>
      </c>
      <c r="B99" t="s">
        <v>358</v>
      </c>
      <c r="C99" t="s">
        <v>4</v>
      </c>
      <c r="D99" t="s">
        <v>5</v>
      </c>
      <c r="E99" s="7" t="s">
        <v>270</v>
      </c>
      <c r="F99" t="s">
        <v>271</v>
      </c>
    </row>
    <row r="100" spans="1:6" hidden="1" x14ac:dyDescent="0.25">
      <c r="A100" t="s">
        <v>269</v>
      </c>
      <c r="B100" t="s">
        <v>297</v>
      </c>
      <c r="C100" t="s">
        <v>4</v>
      </c>
      <c r="D100" t="s">
        <v>5</v>
      </c>
      <c r="E100" s="7" t="s">
        <v>270</v>
      </c>
      <c r="F100" t="s">
        <v>271</v>
      </c>
    </row>
    <row r="101" spans="1:6" hidden="1" x14ac:dyDescent="0.25">
      <c r="A101" t="s">
        <v>269</v>
      </c>
      <c r="B101" t="s">
        <v>337</v>
      </c>
      <c r="C101" t="s">
        <v>4</v>
      </c>
      <c r="D101" t="s">
        <v>5</v>
      </c>
      <c r="E101" s="7" t="s">
        <v>270</v>
      </c>
      <c r="F101" t="s">
        <v>271</v>
      </c>
    </row>
    <row r="102" spans="1:6" hidden="1" x14ac:dyDescent="0.25">
      <c r="A102" t="s">
        <v>269</v>
      </c>
      <c r="B102" t="s">
        <v>345</v>
      </c>
      <c r="C102" t="s">
        <v>4</v>
      </c>
      <c r="D102" t="s">
        <v>5</v>
      </c>
      <c r="E102" s="7" t="s">
        <v>270</v>
      </c>
      <c r="F102" t="s">
        <v>271</v>
      </c>
    </row>
    <row r="103" spans="1:6" hidden="1" x14ac:dyDescent="0.25">
      <c r="A103" t="s">
        <v>269</v>
      </c>
      <c r="B103" t="s">
        <v>299</v>
      </c>
      <c r="C103" t="s">
        <v>4</v>
      </c>
      <c r="D103" t="s">
        <v>5</v>
      </c>
      <c r="E103" s="7" t="s">
        <v>270</v>
      </c>
      <c r="F103" t="s">
        <v>271</v>
      </c>
    </row>
    <row r="104" spans="1:6" hidden="1" x14ac:dyDescent="0.25">
      <c r="A104" t="s">
        <v>269</v>
      </c>
      <c r="B104" t="s">
        <v>344</v>
      </c>
      <c r="C104" t="s">
        <v>4</v>
      </c>
      <c r="D104" t="s">
        <v>5</v>
      </c>
      <c r="E104" s="7" t="s">
        <v>270</v>
      </c>
      <c r="F104" t="s">
        <v>271</v>
      </c>
    </row>
    <row r="105" spans="1:6" hidden="1" x14ac:dyDescent="0.25">
      <c r="A105" t="s">
        <v>269</v>
      </c>
      <c r="B105" t="s">
        <v>310</v>
      </c>
      <c r="C105" t="s">
        <v>4</v>
      </c>
      <c r="D105" t="s">
        <v>5</v>
      </c>
      <c r="E105" s="7" t="s">
        <v>270</v>
      </c>
      <c r="F105" t="s">
        <v>271</v>
      </c>
    </row>
    <row r="106" spans="1:6" hidden="1" x14ac:dyDescent="0.25">
      <c r="A106" t="s">
        <v>269</v>
      </c>
      <c r="B106" t="s">
        <v>329</v>
      </c>
      <c r="C106" t="s">
        <v>4</v>
      </c>
      <c r="D106" t="s">
        <v>5</v>
      </c>
      <c r="E106" s="7" t="s">
        <v>270</v>
      </c>
      <c r="F106" t="s">
        <v>271</v>
      </c>
    </row>
    <row r="107" spans="1:6" hidden="1" x14ac:dyDescent="0.25">
      <c r="A107" t="s">
        <v>269</v>
      </c>
      <c r="B107" t="s">
        <v>359</v>
      </c>
      <c r="C107" t="s">
        <v>4</v>
      </c>
      <c r="D107" t="s">
        <v>5</v>
      </c>
      <c r="E107" s="7" t="s">
        <v>270</v>
      </c>
      <c r="F107" t="s">
        <v>271</v>
      </c>
    </row>
    <row r="108" spans="1:6" hidden="1" x14ac:dyDescent="0.25">
      <c r="A108" t="s">
        <v>269</v>
      </c>
      <c r="B108" t="s">
        <v>360</v>
      </c>
      <c r="C108" t="s">
        <v>4</v>
      </c>
      <c r="D108" t="s">
        <v>5</v>
      </c>
      <c r="E108" s="7" t="s">
        <v>270</v>
      </c>
      <c r="F108" t="s">
        <v>271</v>
      </c>
    </row>
    <row r="109" spans="1:6" x14ac:dyDescent="0.25">
      <c r="A109" t="s">
        <v>272</v>
      </c>
      <c r="B109" t="s">
        <v>361</v>
      </c>
      <c r="C109" t="s">
        <v>4</v>
      </c>
      <c r="D109" t="s">
        <v>5</v>
      </c>
      <c r="E109" s="7" t="s">
        <v>273</v>
      </c>
      <c r="F109" t="s">
        <v>274</v>
      </c>
    </row>
    <row r="110" spans="1:6" hidden="1" x14ac:dyDescent="0.25">
      <c r="A110" t="s">
        <v>272</v>
      </c>
      <c r="B110" t="s">
        <v>362</v>
      </c>
      <c r="C110" t="s">
        <v>4</v>
      </c>
      <c r="D110" t="s">
        <v>5</v>
      </c>
      <c r="E110" s="7" t="s">
        <v>273</v>
      </c>
      <c r="F110" t="s">
        <v>274</v>
      </c>
    </row>
    <row r="111" spans="1:6" hidden="1" x14ac:dyDescent="0.25">
      <c r="A111" t="s">
        <v>272</v>
      </c>
      <c r="B111" t="s">
        <v>363</v>
      </c>
      <c r="C111" t="s">
        <v>4</v>
      </c>
      <c r="D111" t="s">
        <v>5</v>
      </c>
      <c r="E111" s="7" t="s">
        <v>273</v>
      </c>
      <c r="F111" t="s">
        <v>274</v>
      </c>
    </row>
    <row r="112" spans="1:6" hidden="1" x14ac:dyDescent="0.25">
      <c r="A112" t="s">
        <v>272</v>
      </c>
      <c r="B112" t="s">
        <v>364</v>
      </c>
      <c r="C112" t="s">
        <v>4</v>
      </c>
      <c r="D112" t="s">
        <v>5</v>
      </c>
      <c r="E112" s="7" t="s">
        <v>273</v>
      </c>
      <c r="F112" t="s">
        <v>274</v>
      </c>
    </row>
    <row r="113" spans="1:6" hidden="1" x14ac:dyDescent="0.25">
      <c r="A113" t="s">
        <v>272</v>
      </c>
      <c r="B113" t="s">
        <v>365</v>
      </c>
      <c r="C113" t="s">
        <v>4</v>
      </c>
      <c r="D113" t="s">
        <v>5</v>
      </c>
      <c r="E113" s="7" t="s">
        <v>273</v>
      </c>
      <c r="F113" t="s">
        <v>274</v>
      </c>
    </row>
    <row r="114" spans="1:6" hidden="1" x14ac:dyDescent="0.25">
      <c r="A114" t="s">
        <v>272</v>
      </c>
      <c r="B114" t="s">
        <v>338</v>
      </c>
      <c r="C114" t="s">
        <v>4</v>
      </c>
      <c r="D114" t="s">
        <v>5</v>
      </c>
      <c r="E114" s="7" t="s">
        <v>273</v>
      </c>
      <c r="F114" t="s">
        <v>274</v>
      </c>
    </row>
    <row r="115" spans="1:6" hidden="1" x14ac:dyDescent="0.25">
      <c r="A115" t="s">
        <v>272</v>
      </c>
      <c r="B115" t="s">
        <v>299</v>
      </c>
      <c r="C115" t="s">
        <v>4</v>
      </c>
      <c r="D115" t="s">
        <v>5</v>
      </c>
      <c r="E115" s="7" t="s">
        <v>273</v>
      </c>
      <c r="F115" t="s">
        <v>274</v>
      </c>
    </row>
    <row r="116" spans="1:6" hidden="1" x14ac:dyDescent="0.25">
      <c r="A116" t="s">
        <v>272</v>
      </c>
      <c r="B116" t="s">
        <v>297</v>
      </c>
      <c r="C116" t="s">
        <v>4</v>
      </c>
      <c r="D116" t="s">
        <v>5</v>
      </c>
      <c r="E116" s="7" t="s">
        <v>273</v>
      </c>
      <c r="F116" t="s">
        <v>274</v>
      </c>
    </row>
    <row r="117" spans="1:6" hidden="1" x14ac:dyDescent="0.25">
      <c r="A117" t="s">
        <v>272</v>
      </c>
      <c r="B117" t="s">
        <v>305</v>
      </c>
      <c r="C117" t="s">
        <v>4</v>
      </c>
      <c r="D117" t="s">
        <v>5</v>
      </c>
      <c r="E117" s="7" t="s">
        <v>273</v>
      </c>
      <c r="F117" t="s">
        <v>274</v>
      </c>
    </row>
    <row r="118" spans="1:6" hidden="1" x14ac:dyDescent="0.25">
      <c r="A118" t="s">
        <v>272</v>
      </c>
      <c r="B118" t="s">
        <v>318</v>
      </c>
      <c r="C118" t="s">
        <v>4</v>
      </c>
      <c r="D118" t="s">
        <v>5</v>
      </c>
      <c r="E118" s="7" t="s">
        <v>273</v>
      </c>
      <c r="F118" t="s">
        <v>274</v>
      </c>
    </row>
    <row r="119" spans="1:6" hidden="1" x14ac:dyDescent="0.25">
      <c r="A119" t="s">
        <v>272</v>
      </c>
      <c r="B119" t="s">
        <v>311</v>
      </c>
      <c r="C119" t="s">
        <v>4</v>
      </c>
      <c r="D119" t="s">
        <v>5</v>
      </c>
      <c r="E119" s="7" t="s">
        <v>273</v>
      </c>
      <c r="F119" t="s">
        <v>274</v>
      </c>
    </row>
    <row r="120" spans="1:6" x14ac:dyDescent="0.25">
      <c r="A120" t="s">
        <v>275</v>
      </c>
      <c r="B120" t="s">
        <v>366</v>
      </c>
      <c r="C120" t="s">
        <v>4</v>
      </c>
      <c r="D120" t="s">
        <v>5</v>
      </c>
      <c r="E120" s="7" t="s">
        <v>276</v>
      </c>
      <c r="F120" t="s">
        <v>277</v>
      </c>
    </row>
    <row r="121" spans="1:6" hidden="1" x14ac:dyDescent="0.25">
      <c r="A121" t="s">
        <v>275</v>
      </c>
      <c r="B121" t="s">
        <v>367</v>
      </c>
      <c r="C121" t="s">
        <v>4</v>
      </c>
      <c r="D121" t="s">
        <v>5</v>
      </c>
      <c r="E121" s="7" t="s">
        <v>276</v>
      </c>
      <c r="F121" t="s">
        <v>277</v>
      </c>
    </row>
    <row r="122" spans="1:6" hidden="1" x14ac:dyDescent="0.25">
      <c r="A122" t="s">
        <v>275</v>
      </c>
      <c r="B122" t="s">
        <v>368</v>
      </c>
      <c r="C122" t="s">
        <v>4</v>
      </c>
      <c r="D122" t="s">
        <v>5</v>
      </c>
      <c r="E122" s="7" t="s">
        <v>276</v>
      </c>
      <c r="F122" t="s">
        <v>277</v>
      </c>
    </row>
    <row r="123" spans="1:6" hidden="1" x14ac:dyDescent="0.25">
      <c r="A123" t="s">
        <v>275</v>
      </c>
      <c r="B123" t="s">
        <v>369</v>
      </c>
      <c r="C123" t="s">
        <v>4</v>
      </c>
      <c r="D123" t="s">
        <v>5</v>
      </c>
      <c r="E123" s="7" t="s">
        <v>276</v>
      </c>
      <c r="F123" t="s">
        <v>277</v>
      </c>
    </row>
    <row r="124" spans="1:6" hidden="1" x14ac:dyDescent="0.25">
      <c r="A124" t="s">
        <v>275</v>
      </c>
      <c r="B124" t="s">
        <v>370</v>
      </c>
      <c r="C124" t="s">
        <v>4</v>
      </c>
      <c r="D124" t="s">
        <v>5</v>
      </c>
      <c r="E124" s="7" t="s">
        <v>276</v>
      </c>
      <c r="F124" t="s">
        <v>277</v>
      </c>
    </row>
    <row r="125" spans="1:6" hidden="1" x14ac:dyDescent="0.25">
      <c r="A125" t="s">
        <v>275</v>
      </c>
      <c r="B125" t="s">
        <v>299</v>
      </c>
      <c r="C125" t="s">
        <v>4</v>
      </c>
      <c r="D125" t="s">
        <v>5</v>
      </c>
      <c r="E125" s="7" t="s">
        <v>276</v>
      </c>
      <c r="F125" t="s">
        <v>277</v>
      </c>
    </row>
    <row r="126" spans="1:6" hidden="1" x14ac:dyDescent="0.25">
      <c r="A126" t="s">
        <v>275</v>
      </c>
      <c r="B126" t="s">
        <v>297</v>
      </c>
      <c r="C126" t="s">
        <v>4</v>
      </c>
      <c r="D126" t="s">
        <v>5</v>
      </c>
      <c r="E126" s="7" t="s">
        <v>276</v>
      </c>
      <c r="F126" t="s">
        <v>277</v>
      </c>
    </row>
    <row r="127" spans="1:6" hidden="1" x14ac:dyDescent="0.25">
      <c r="A127" t="s">
        <v>275</v>
      </c>
      <c r="B127" t="s">
        <v>318</v>
      </c>
      <c r="C127" t="s">
        <v>4</v>
      </c>
      <c r="D127" t="s">
        <v>5</v>
      </c>
      <c r="E127" s="7" t="s">
        <v>276</v>
      </c>
      <c r="F127" t="s">
        <v>277</v>
      </c>
    </row>
    <row r="128" spans="1:6" hidden="1" x14ac:dyDescent="0.25">
      <c r="A128" t="s">
        <v>275</v>
      </c>
      <c r="B128" t="s">
        <v>329</v>
      </c>
      <c r="C128" t="s">
        <v>4</v>
      </c>
      <c r="D128" t="s">
        <v>5</v>
      </c>
      <c r="E128" s="7" t="s">
        <v>276</v>
      </c>
      <c r="F128" t="s">
        <v>277</v>
      </c>
    </row>
    <row r="129" spans="1:6" hidden="1" x14ac:dyDescent="0.25">
      <c r="A129" t="s">
        <v>275</v>
      </c>
      <c r="B129" t="s">
        <v>310</v>
      </c>
      <c r="C129" t="s">
        <v>4</v>
      </c>
      <c r="D129" t="s">
        <v>5</v>
      </c>
      <c r="E129" s="7" t="s">
        <v>276</v>
      </c>
      <c r="F129" t="s">
        <v>277</v>
      </c>
    </row>
    <row r="130" spans="1:6" x14ac:dyDescent="0.25">
      <c r="A130" t="s">
        <v>278</v>
      </c>
      <c r="B130" t="s">
        <v>371</v>
      </c>
      <c r="C130" t="s">
        <v>4</v>
      </c>
      <c r="D130" t="s">
        <v>5</v>
      </c>
      <c r="E130" s="7" t="s">
        <v>279</v>
      </c>
      <c r="F130" t="s">
        <v>280</v>
      </c>
    </row>
    <row r="131" spans="1:6" hidden="1" x14ac:dyDescent="0.25">
      <c r="A131" t="s">
        <v>278</v>
      </c>
      <c r="B131" t="s">
        <v>372</v>
      </c>
      <c r="C131" t="s">
        <v>4</v>
      </c>
      <c r="D131" t="s">
        <v>5</v>
      </c>
      <c r="E131" s="7" t="s">
        <v>279</v>
      </c>
      <c r="F131" t="s">
        <v>280</v>
      </c>
    </row>
    <row r="132" spans="1:6" hidden="1" x14ac:dyDescent="0.25">
      <c r="A132" t="s">
        <v>278</v>
      </c>
      <c r="B132" t="s">
        <v>373</v>
      </c>
      <c r="C132" t="s">
        <v>4</v>
      </c>
      <c r="D132" t="s">
        <v>5</v>
      </c>
      <c r="E132" s="7" t="s">
        <v>279</v>
      </c>
      <c r="F132" t="s">
        <v>280</v>
      </c>
    </row>
    <row r="133" spans="1:6" hidden="1" x14ac:dyDescent="0.25">
      <c r="A133" t="s">
        <v>278</v>
      </c>
      <c r="B133" t="s">
        <v>374</v>
      </c>
      <c r="C133" t="s">
        <v>4</v>
      </c>
      <c r="D133" t="s">
        <v>5</v>
      </c>
      <c r="E133" s="7" t="s">
        <v>279</v>
      </c>
      <c r="F133" t="s">
        <v>280</v>
      </c>
    </row>
    <row r="134" spans="1:6" hidden="1" x14ac:dyDescent="0.25">
      <c r="A134" t="s">
        <v>278</v>
      </c>
      <c r="B134" t="s">
        <v>375</v>
      </c>
      <c r="C134" t="s">
        <v>4</v>
      </c>
      <c r="D134" t="s">
        <v>5</v>
      </c>
      <c r="E134" s="7" t="s">
        <v>279</v>
      </c>
      <c r="F134" t="s">
        <v>280</v>
      </c>
    </row>
    <row r="135" spans="1:6" hidden="1" x14ac:dyDescent="0.25">
      <c r="A135" t="s">
        <v>278</v>
      </c>
      <c r="B135" t="s">
        <v>310</v>
      </c>
      <c r="C135" t="s">
        <v>4</v>
      </c>
      <c r="D135" t="s">
        <v>5</v>
      </c>
      <c r="E135" s="7" t="s">
        <v>279</v>
      </c>
      <c r="F135" t="s">
        <v>280</v>
      </c>
    </row>
    <row r="136" spans="1:6" hidden="1" x14ac:dyDescent="0.25">
      <c r="A136" t="s">
        <v>278</v>
      </c>
      <c r="B136" t="s">
        <v>353</v>
      </c>
      <c r="C136" t="s">
        <v>4</v>
      </c>
      <c r="D136" t="s">
        <v>5</v>
      </c>
      <c r="E136" s="7" t="s">
        <v>279</v>
      </c>
      <c r="F136" t="s">
        <v>280</v>
      </c>
    </row>
    <row r="137" spans="1:6" hidden="1" x14ac:dyDescent="0.25">
      <c r="A137" t="s">
        <v>278</v>
      </c>
      <c r="B137" t="s">
        <v>376</v>
      </c>
      <c r="C137" t="s">
        <v>4</v>
      </c>
      <c r="D137" t="s">
        <v>5</v>
      </c>
      <c r="E137" s="7" t="s">
        <v>279</v>
      </c>
      <c r="F137" t="s">
        <v>280</v>
      </c>
    </row>
    <row r="138" spans="1:6" hidden="1" x14ac:dyDescent="0.25">
      <c r="A138" t="s">
        <v>278</v>
      </c>
      <c r="B138" t="s">
        <v>296</v>
      </c>
      <c r="C138" t="s">
        <v>4</v>
      </c>
      <c r="D138" t="s">
        <v>5</v>
      </c>
      <c r="E138" s="7" t="s">
        <v>279</v>
      </c>
      <c r="F138" t="s">
        <v>280</v>
      </c>
    </row>
    <row r="139" spans="1:6" hidden="1" x14ac:dyDescent="0.25">
      <c r="A139" t="s">
        <v>278</v>
      </c>
      <c r="B139" t="s">
        <v>297</v>
      </c>
      <c r="C139" t="s">
        <v>4</v>
      </c>
      <c r="D139" t="s">
        <v>5</v>
      </c>
      <c r="E139" s="7" t="s">
        <v>279</v>
      </c>
      <c r="F139" t="s">
        <v>280</v>
      </c>
    </row>
    <row r="140" spans="1:6" hidden="1" x14ac:dyDescent="0.25">
      <c r="A140" t="s">
        <v>278</v>
      </c>
      <c r="B140" t="s">
        <v>329</v>
      </c>
      <c r="C140" t="s">
        <v>4</v>
      </c>
      <c r="D140" t="s">
        <v>5</v>
      </c>
      <c r="E140" s="7" t="s">
        <v>279</v>
      </c>
      <c r="F140" t="s">
        <v>280</v>
      </c>
    </row>
    <row r="141" spans="1:6" hidden="1" x14ac:dyDescent="0.25">
      <c r="A141" t="s">
        <v>278</v>
      </c>
      <c r="B141" t="s">
        <v>299</v>
      </c>
      <c r="C141" t="s">
        <v>4</v>
      </c>
      <c r="D141" t="s">
        <v>5</v>
      </c>
      <c r="E141" s="7" t="s">
        <v>279</v>
      </c>
      <c r="F141" t="s">
        <v>280</v>
      </c>
    </row>
    <row r="142" spans="1:6" x14ac:dyDescent="0.25">
      <c r="A142" t="s">
        <v>281</v>
      </c>
      <c r="B142" t="s">
        <v>377</v>
      </c>
      <c r="C142" t="s">
        <v>4</v>
      </c>
      <c r="D142" t="s">
        <v>5</v>
      </c>
      <c r="E142" s="7" t="s">
        <v>282</v>
      </c>
      <c r="F142" t="s">
        <v>283</v>
      </c>
    </row>
    <row r="143" spans="1:6" hidden="1" x14ac:dyDescent="0.25">
      <c r="A143" t="s">
        <v>281</v>
      </c>
      <c r="B143" t="s">
        <v>378</v>
      </c>
      <c r="C143" t="s">
        <v>4</v>
      </c>
      <c r="D143" t="s">
        <v>5</v>
      </c>
      <c r="E143" s="7" t="s">
        <v>282</v>
      </c>
      <c r="F143" t="s">
        <v>283</v>
      </c>
    </row>
    <row r="144" spans="1:6" hidden="1" x14ac:dyDescent="0.25">
      <c r="A144" t="s">
        <v>281</v>
      </c>
      <c r="B144" t="s">
        <v>379</v>
      </c>
      <c r="C144" t="s">
        <v>4</v>
      </c>
      <c r="D144" t="s">
        <v>5</v>
      </c>
      <c r="E144" s="7" t="s">
        <v>282</v>
      </c>
      <c r="F144" t="s">
        <v>283</v>
      </c>
    </row>
    <row r="145" spans="1:6" hidden="1" x14ac:dyDescent="0.25">
      <c r="A145" t="s">
        <v>281</v>
      </c>
      <c r="B145" t="s">
        <v>380</v>
      </c>
      <c r="C145" t="s">
        <v>4</v>
      </c>
      <c r="D145" t="s">
        <v>5</v>
      </c>
      <c r="E145" s="7" t="s">
        <v>282</v>
      </c>
      <c r="F145" t="s">
        <v>283</v>
      </c>
    </row>
    <row r="146" spans="1:6" hidden="1" x14ac:dyDescent="0.25">
      <c r="A146" t="s">
        <v>281</v>
      </c>
      <c r="B146" t="s">
        <v>381</v>
      </c>
      <c r="C146" t="s">
        <v>4</v>
      </c>
      <c r="D146" t="s">
        <v>5</v>
      </c>
      <c r="E146" s="7" t="s">
        <v>282</v>
      </c>
      <c r="F146" t="s">
        <v>283</v>
      </c>
    </row>
    <row r="147" spans="1:6" hidden="1" x14ac:dyDescent="0.25">
      <c r="A147" t="s">
        <v>281</v>
      </c>
      <c r="B147" t="s">
        <v>329</v>
      </c>
      <c r="C147" t="s">
        <v>4</v>
      </c>
      <c r="D147" t="s">
        <v>5</v>
      </c>
      <c r="E147" s="7" t="s">
        <v>282</v>
      </c>
      <c r="F147" t="s">
        <v>283</v>
      </c>
    </row>
    <row r="148" spans="1:6" hidden="1" x14ac:dyDescent="0.25">
      <c r="A148" t="s">
        <v>281</v>
      </c>
      <c r="B148" t="s">
        <v>299</v>
      </c>
      <c r="C148" t="s">
        <v>4</v>
      </c>
      <c r="D148" t="s">
        <v>5</v>
      </c>
      <c r="E148" s="7" t="s">
        <v>282</v>
      </c>
      <c r="F148" t="s">
        <v>283</v>
      </c>
    </row>
    <row r="149" spans="1:6" hidden="1" x14ac:dyDescent="0.25">
      <c r="A149" t="s">
        <v>281</v>
      </c>
      <c r="B149" t="s">
        <v>297</v>
      </c>
      <c r="C149" t="s">
        <v>4</v>
      </c>
      <c r="D149" t="s">
        <v>5</v>
      </c>
      <c r="E149" s="7" t="s">
        <v>282</v>
      </c>
      <c r="F149" t="s">
        <v>283</v>
      </c>
    </row>
    <row r="150" spans="1:6" hidden="1" x14ac:dyDescent="0.25">
      <c r="A150" t="s">
        <v>281</v>
      </c>
      <c r="B150" t="s">
        <v>344</v>
      </c>
      <c r="C150" t="s">
        <v>4</v>
      </c>
      <c r="D150" t="s">
        <v>5</v>
      </c>
      <c r="E150" s="7" t="s">
        <v>282</v>
      </c>
      <c r="F150" t="s">
        <v>283</v>
      </c>
    </row>
    <row r="151" spans="1:6" hidden="1" x14ac:dyDescent="0.25">
      <c r="A151" t="s">
        <v>281</v>
      </c>
      <c r="B151" t="s">
        <v>318</v>
      </c>
      <c r="C151" t="s">
        <v>4</v>
      </c>
      <c r="D151" t="s">
        <v>5</v>
      </c>
      <c r="E151" s="7" t="s">
        <v>282</v>
      </c>
      <c r="F151" t="s">
        <v>283</v>
      </c>
    </row>
    <row r="152" spans="1:6" x14ac:dyDescent="0.25">
      <c r="A152" t="s">
        <v>284</v>
      </c>
      <c r="B152" t="s">
        <v>382</v>
      </c>
      <c r="C152" t="s">
        <v>4</v>
      </c>
      <c r="D152" t="s">
        <v>5</v>
      </c>
      <c r="E152" s="7" t="s">
        <v>285</v>
      </c>
      <c r="F152" t="s">
        <v>286</v>
      </c>
    </row>
    <row r="153" spans="1:6" hidden="1" x14ac:dyDescent="0.25">
      <c r="A153" t="s">
        <v>284</v>
      </c>
      <c r="B153" t="s">
        <v>383</v>
      </c>
      <c r="C153" t="s">
        <v>4</v>
      </c>
      <c r="D153" t="s">
        <v>5</v>
      </c>
      <c r="E153" s="7" t="s">
        <v>285</v>
      </c>
      <c r="F153" t="s">
        <v>286</v>
      </c>
    </row>
    <row r="154" spans="1:6" hidden="1" x14ac:dyDescent="0.25">
      <c r="A154" t="s">
        <v>284</v>
      </c>
      <c r="B154" t="s">
        <v>384</v>
      </c>
      <c r="C154" t="s">
        <v>4</v>
      </c>
      <c r="D154" t="s">
        <v>5</v>
      </c>
      <c r="E154" s="7" t="s">
        <v>285</v>
      </c>
      <c r="F154" t="s">
        <v>286</v>
      </c>
    </row>
    <row r="155" spans="1:6" hidden="1" x14ac:dyDescent="0.25">
      <c r="A155" t="s">
        <v>284</v>
      </c>
      <c r="B155" t="s">
        <v>385</v>
      </c>
      <c r="C155" t="s">
        <v>4</v>
      </c>
      <c r="D155" t="s">
        <v>5</v>
      </c>
      <c r="E155" s="7" t="s">
        <v>285</v>
      </c>
      <c r="F155" t="s">
        <v>286</v>
      </c>
    </row>
    <row r="156" spans="1:6" hidden="1" x14ac:dyDescent="0.25">
      <c r="A156" t="s">
        <v>284</v>
      </c>
      <c r="B156" t="s">
        <v>386</v>
      </c>
      <c r="C156" t="s">
        <v>4</v>
      </c>
      <c r="D156" t="s">
        <v>5</v>
      </c>
      <c r="E156" s="7" t="s">
        <v>285</v>
      </c>
      <c r="F156" t="s">
        <v>286</v>
      </c>
    </row>
    <row r="157" spans="1:6" hidden="1" x14ac:dyDescent="0.25">
      <c r="A157" t="s">
        <v>284</v>
      </c>
      <c r="B157" t="s">
        <v>329</v>
      </c>
      <c r="C157" t="s">
        <v>4</v>
      </c>
      <c r="D157" t="s">
        <v>5</v>
      </c>
      <c r="E157" s="7" t="s">
        <v>285</v>
      </c>
      <c r="F157" t="s">
        <v>286</v>
      </c>
    </row>
    <row r="158" spans="1:6" hidden="1" x14ac:dyDescent="0.25">
      <c r="A158" t="s">
        <v>284</v>
      </c>
      <c r="B158" t="s">
        <v>323</v>
      </c>
      <c r="C158" t="s">
        <v>4</v>
      </c>
      <c r="D158" t="s">
        <v>5</v>
      </c>
      <c r="E158" s="7" t="s">
        <v>285</v>
      </c>
      <c r="F158" t="s">
        <v>286</v>
      </c>
    </row>
    <row r="159" spans="1:6" hidden="1" x14ac:dyDescent="0.25">
      <c r="A159" t="s">
        <v>284</v>
      </c>
      <c r="B159" t="s">
        <v>299</v>
      </c>
      <c r="C159" t="s">
        <v>4</v>
      </c>
      <c r="D159" t="s">
        <v>5</v>
      </c>
      <c r="E159" s="7" t="s">
        <v>285</v>
      </c>
      <c r="F159" t="s">
        <v>286</v>
      </c>
    </row>
    <row r="160" spans="1:6" hidden="1" x14ac:dyDescent="0.25">
      <c r="A160" t="s">
        <v>284</v>
      </c>
      <c r="B160" t="s">
        <v>359</v>
      </c>
      <c r="C160" t="s">
        <v>4</v>
      </c>
      <c r="D160" t="s">
        <v>5</v>
      </c>
      <c r="E160" s="7" t="s">
        <v>285</v>
      </c>
      <c r="F160" t="s">
        <v>286</v>
      </c>
    </row>
    <row r="161" spans="1:6" hidden="1" x14ac:dyDescent="0.25">
      <c r="A161" t="s">
        <v>284</v>
      </c>
      <c r="B161" t="s">
        <v>297</v>
      </c>
      <c r="C161" t="s">
        <v>4</v>
      </c>
      <c r="D161" t="s">
        <v>5</v>
      </c>
      <c r="E161" s="7" t="s">
        <v>285</v>
      </c>
      <c r="F161" t="s">
        <v>286</v>
      </c>
    </row>
    <row r="162" spans="1:6" hidden="1" x14ac:dyDescent="0.25">
      <c r="A162" t="s">
        <v>284</v>
      </c>
      <c r="B162" t="s">
        <v>296</v>
      </c>
      <c r="C162" t="s">
        <v>4</v>
      </c>
      <c r="D162" t="s">
        <v>5</v>
      </c>
      <c r="E162" s="7" t="s">
        <v>285</v>
      </c>
      <c r="F162" t="s">
        <v>286</v>
      </c>
    </row>
    <row r="163" spans="1:6" hidden="1" x14ac:dyDescent="0.25">
      <c r="A163" t="s">
        <v>284</v>
      </c>
      <c r="B163" t="s">
        <v>345</v>
      </c>
      <c r="C163" t="s">
        <v>4</v>
      </c>
      <c r="D163" t="s">
        <v>5</v>
      </c>
      <c r="E163" s="7" t="s">
        <v>285</v>
      </c>
      <c r="F163" t="s">
        <v>286</v>
      </c>
    </row>
    <row r="164" spans="1:6" hidden="1" x14ac:dyDescent="0.25">
      <c r="A164" t="s">
        <v>284</v>
      </c>
      <c r="B164" t="s">
        <v>310</v>
      </c>
      <c r="C164" t="s">
        <v>4</v>
      </c>
      <c r="D164" t="s">
        <v>5</v>
      </c>
      <c r="E164" s="7" t="s">
        <v>285</v>
      </c>
      <c r="F164" t="s">
        <v>286</v>
      </c>
    </row>
    <row r="165" spans="1:6" hidden="1" x14ac:dyDescent="0.25">
      <c r="A165" t="s">
        <v>284</v>
      </c>
      <c r="B165" t="s">
        <v>318</v>
      </c>
      <c r="C165" t="s">
        <v>4</v>
      </c>
      <c r="D165" t="s">
        <v>5</v>
      </c>
      <c r="E165" s="7" t="s">
        <v>285</v>
      </c>
      <c r="F165" t="s">
        <v>286</v>
      </c>
    </row>
    <row r="166" spans="1:6" hidden="1" x14ac:dyDescent="0.25">
      <c r="A166" t="s">
        <v>284</v>
      </c>
      <c r="B166" t="s">
        <v>353</v>
      </c>
      <c r="C166" t="s">
        <v>4</v>
      </c>
      <c r="D166" t="s">
        <v>5</v>
      </c>
      <c r="E166" s="7" t="s">
        <v>285</v>
      </c>
      <c r="F166" t="s">
        <v>286</v>
      </c>
    </row>
    <row r="167" spans="1:6" hidden="1" x14ac:dyDescent="0.25">
      <c r="A167" t="s">
        <v>284</v>
      </c>
      <c r="B167" t="s">
        <v>344</v>
      </c>
      <c r="C167" t="s">
        <v>4</v>
      </c>
      <c r="D167" t="s">
        <v>5</v>
      </c>
      <c r="E167" s="7" t="s">
        <v>285</v>
      </c>
      <c r="F167" t="s">
        <v>286</v>
      </c>
    </row>
    <row r="168" spans="1:6" x14ac:dyDescent="0.25">
      <c r="A168" t="s">
        <v>287</v>
      </c>
      <c r="B168" t="s">
        <v>387</v>
      </c>
      <c r="C168" t="s">
        <v>4</v>
      </c>
      <c r="D168" t="s">
        <v>5</v>
      </c>
      <c r="E168" s="7" t="s">
        <v>288</v>
      </c>
      <c r="F168" t="s">
        <v>289</v>
      </c>
    </row>
    <row r="169" spans="1:6" hidden="1" x14ac:dyDescent="0.25">
      <c r="A169" t="s">
        <v>287</v>
      </c>
      <c r="B169" t="s">
        <v>388</v>
      </c>
      <c r="C169" t="s">
        <v>4</v>
      </c>
      <c r="D169" t="s">
        <v>5</v>
      </c>
      <c r="E169" s="7" t="s">
        <v>288</v>
      </c>
      <c r="F169" t="s">
        <v>289</v>
      </c>
    </row>
    <row r="170" spans="1:6" hidden="1" x14ac:dyDescent="0.25">
      <c r="A170" t="s">
        <v>287</v>
      </c>
      <c r="B170" t="s">
        <v>389</v>
      </c>
      <c r="C170" t="s">
        <v>4</v>
      </c>
      <c r="D170" t="s">
        <v>5</v>
      </c>
      <c r="E170" s="7" t="s">
        <v>288</v>
      </c>
      <c r="F170" t="s">
        <v>289</v>
      </c>
    </row>
    <row r="171" spans="1:6" hidden="1" x14ac:dyDescent="0.25">
      <c r="A171" t="s">
        <v>287</v>
      </c>
      <c r="B171" t="s">
        <v>390</v>
      </c>
      <c r="C171" t="s">
        <v>4</v>
      </c>
      <c r="D171" t="s">
        <v>5</v>
      </c>
      <c r="E171" s="7" t="s">
        <v>288</v>
      </c>
      <c r="F171" t="s">
        <v>289</v>
      </c>
    </row>
    <row r="172" spans="1:6" hidden="1" x14ac:dyDescent="0.25">
      <c r="A172" t="s">
        <v>287</v>
      </c>
      <c r="B172" t="s">
        <v>391</v>
      </c>
      <c r="C172" t="s">
        <v>4</v>
      </c>
      <c r="D172" t="s">
        <v>5</v>
      </c>
      <c r="E172" s="7" t="s">
        <v>288</v>
      </c>
      <c r="F172" t="s">
        <v>289</v>
      </c>
    </row>
    <row r="173" spans="1:6" hidden="1" x14ac:dyDescent="0.25">
      <c r="A173" t="s">
        <v>287</v>
      </c>
      <c r="B173" t="s">
        <v>297</v>
      </c>
      <c r="C173" t="s">
        <v>4</v>
      </c>
      <c r="D173" t="s">
        <v>5</v>
      </c>
      <c r="E173" s="7" t="s">
        <v>288</v>
      </c>
      <c r="F173" t="s">
        <v>289</v>
      </c>
    </row>
    <row r="174" spans="1:6" hidden="1" x14ac:dyDescent="0.25">
      <c r="A174" t="s">
        <v>287</v>
      </c>
      <c r="B174" t="s">
        <v>329</v>
      </c>
      <c r="C174" t="s">
        <v>4</v>
      </c>
      <c r="D174" t="s">
        <v>5</v>
      </c>
      <c r="E174" s="7" t="s">
        <v>288</v>
      </c>
      <c r="F174" t="s">
        <v>289</v>
      </c>
    </row>
    <row r="175" spans="1:6" hidden="1" x14ac:dyDescent="0.25">
      <c r="A175" t="s">
        <v>287</v>
      </c>
      <c r="B175" t="s">
        <v>353</v>
      </c>
      <c r="C175" t="s">
        <v>4</v>
      </c>
      <c r="D175" t="s">
        <v>5</v>
      </c>
      <c r="E175" s="7" t="s">
        <v>288</v>
      </c>
      <c r="F175" t="s">
        <v>289</v>
      </c>
    </row>
    <row r="176" spans="1:6" hidden="1" x14ac:dyDescent="0.25">
      <c r="A176" t="s">
        <v>287</v>
      </c>
      <c r="B176" t="s">
        <v>344</v>
      </c>
      <c r="C176" t="s">
        <v>4</v>
      </c>
      <c r="D176" t="s">
        <v>5</v>
      </c>
      <c r="E176" s="7" t="s">
        <v>288</v>
      </c>
      <c r="F176" t="s">
        <v>289</v>
      </c>
    </row>
    <row r="177" spans="1:6" hidden="1" x14ac:dyDescent="0.25">
      <c r="A177" t="s">
        <v>287</v>
      </c>
      <c r="B177" t="s">
        <v>392</v>
      </c>
      <c r="C177" t="s">
        <v>4</v>
      </c>
      <c r="D177" t="s">
        <v>5</v>
      </c>
      <c r="E177" s="7" t="s">
        <v>288</v>
      </c>
      <c r="F177" t="s">
        <v>289</v>
      </c>
    </row>
    <row r="178" spans="1:6" hidden="1" x14ac:dyDescent="0.25">
      <c r="A178" t="s">
        <v>287</v>
      </c>
      <c r="B178" t="s">
        <v>299</v>
      </c>
      <c r="C178" t="s">
        <v>4</v>
      </c>
      <c r="D178" t="s">
        <v>5</v>
      </c>
      <c r="E178" s="7" t="s">
        <v>288</v>
      </c>
      <c r="F178" t="s">
        <v>289</v>
      </c>
    </row>
    <row r="179" spans="1:6" hidden="1" x14ac:dyDescent="0.25">
      <c r="A179" t="s">
        <v>287</v>
      </c>
      <c r="B179" t="s">
        <v>310</v>
      </c>
      <c r="C179" t="s">
        <v>4</v>
      </c>
      <c r="D179" t="s">
        <v>5</v>
      </c>
      <c r="E179" s="7" t="s">
        <v>288</v>
      </c>
      <c r="F179" t="s">
        <v>289</v>
      </c>
    </row>
    <row r="180" spans="1:6" hidden="1" x14ac:dyDescent="0.25">
      <c r="A180" t="s">
        <v>287</v>
      </c>
      <c r="B180" t="s">
        <v>318</v>
      </c>
      <c r="C180" t="s">
        <v>4</v>
      </c>
      <c r="D180" t="s">
        <v>5</v>
      </c>
      <c r="E180" s="7" t="s">
        <v>288</v>
      </c>
      <c r="F180" t="s">
        <v>289</v>
      </c>
    </row>
    <row r="181" spans="1:6" hidden="1" x14ac:dyDescent="0.25">
      <c r="A181" t="s">
        <v>287</v>
      </c>
      <c r="B181" t="s">
        <v>296</v>
      </c>
      <c r="C181" t="s">
        <v>4</v>
      </c>
      <c r="D181" t="s">
        <v>5</v>
      </c>
      <c r="E181" s="7" t="s">
        <v>288</v>
      </c>
      <c r="F181" t="s">
        <v>289</v>
      </c>
    </row>
    <row r="182" spans="1:6" hidden="1" x14ac:dyDescent="0.25">
      <c r="A182" t="s">
        <v>287</v>
      </c>
      <c r="B182" t="s">
        <v>359</v>
      </c>
      <c r="C182" t="s">
        <v>4</v>
      </c>
      <c r="D182" t="s">
        <v>5</v>
      </c>
      <c r="E182" s="7" t="s">
        <v>288</v>
      </c>
      <c r="F182" t="s">
        <v>289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1"/>
  <sheetViews>
    <sheetView workbookViewId="0">
      <selection activeCell="G15" sqref="G15"/>
    </sheetView>
  </sheetViews>
  <sheetFormatPr defaultRowHeight="15" x14ac:dyDescent="0.25"/>
  <cols>
    <col min="2" max="2" width="38.140625" customWidth="1"/>
    <col min="3" max="3" width="12.28515625" customWidth="1"/>
    <col min="4" max="4" width="18.7109375" bestFit="1" customWidth="1"/>
  </cols>
  <sheetData>
    <row r="1" spans="1:2" x14ac:dyDescent="0.25">
      <c r="A1" t="s">
        <v>246</v>
      </c>
      <c r="B1" s="8" t="s">
        <v>247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ub_CN_ExportFeed" altText="Run Export ConNext Profiles based on search query.">
                <anchor moveWithCells="1">
                  <from>
                    <xdr:col>0</xdr:col>
                    <xdr:colOff>47625</xdr:colOff>
                    <xdr:row>1</xdr:row>
                    <xdr:rowOff>38100</xdr:rowOff>
                  </from>
                  <to>
                    <xdr:col>0</xdr:col>
                    <xdr:colOff>561975</xdr:colOff>
                    <xdr:row>2</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4068B-A628-4C1F-A664-1E86508F8247}">
  <sheetPr codeName="Sheet15"/>
  <dimension ref="A1:E3"/>
  <sheetViews>
    <sheetView workbookViewId="0">
      <selection activeCell="E8" sqref="E8"/>
    </sheetView>
  </sheetViews>
  <sheetFormatPr defaultRowHeight="15" x14ac:dyDescent="0.25"/>
  <cols>
    <col min="2" max="2" width="54" bestFit="1" customWidth="1"/>
    <col min="3" max="3" width="36.28515625" bestFit="1" customWidth="1"/>
    <col min="4" max="4" width="37.140625" bestFit="1" customWidth="1"/>
    <col min="5" max="5" width="19.85546875" bestFit="1" customWidth="1"/>
  </cols>
  <sheetData>
    <row r="1" spans="1:5" x14ac:dyDescent="0.25">
      <c r="A1" t="s">
        <v>8</v>
      </c>
      <c r="B1" s="1" t="s">
        <v>245</v>
      </c>
    </row>
    <row r="2" spans="1:5" x14ac:dyDescent="0.25">
      <c r="B2" t="s">
        <v>1</v>
      </c>
      <c r="C2" t="s">
        <v>2</v>
      </c>
      <c r="D2" t="s">
        <v>0</v>
      </c>
      <c r="E2" s="3" t="s">
        <v>3</v>
      </c>
    </row>
    <row r="3" spans="1:5" x14ac:dyDescent="0.25">
      <c r="B3" s="1"/>
      <c r="D3" s="6"/>
      <c r="E3" s="2"/>
    </row>
  </sheetData>
  <hyperlinks>
    <hyperlink ref="B1" r:id="rId1" xr:uid="{4733C0FC-A92F-4C75-A7D8-F42C5EDFF4B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01" r:id="rId5" name="Button 1">
              <controlPr defaultSize="0" print="0" autoFill="0" autoPict="0" macro="[0]!SubExportLikers" altText="Run Export ConNext Profiles based on search query.">
                <anchor moveWithCells="1">
                  <from>
                    <xdr:col>0</xdr:col>
                    <xdr:colOff>47625</xdr:colOff>
                    <xdr:row>1</xdr:row>
                    <xdr:rowOff>38100</xdr:rowOff>
                  </from>
                  <to>
                    <xdr:col>0</xdr:col>
                    <xdr:colOff>561975</xdr:colOff>
                    <xdr:row>2</xdr:row>
                    <xdr:rowOff>76200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4"/>
  <sheetViews>
    <sheetView workbookViewId="0">
      <selection activeCell="G13" sqref="G13"/>
    </sheetView>
  </sheetViews>
  <sheetFormatPr defaultRowHeight="15" x14ac:dyDescent="0.25"/>
  <cols>
    <col min="2" max="2" width="45.28515625" customWidth="1"/>
    <col min="3" max="3" width="23.42578125" customWidth="1"/>
    <col min="4" max="4" width="35.28515625" bestFit="1" customWidth="1"/>
    <col min="5" max="5" width="18.7109375" bestFit="1" customWidth="1"/>
  </cols>
  <sheetData>
    <row r="1" spans="1:5" x14ac:dyDescent="0.25">
      <c r="A1" t="s">
        <v>8</v>
      </c>
      <c r="B1" s="1" t="s">
        <v>10</v>
      </c>
    </row>
    <row r="2" spans="1:5" x14ac:dyDescent="0.25">
      <c r="B2" t="s">
        <v>1</v>
      </c>
      <c r="C2" t="s">
        <v>2</v>
      </c>
      <c r="D2" t="s">
        <v>0</v>
      </c>
      <c r="E2" s="3" t="s">
        <v>3</v>
      </c>
    </row>
    <row r="3" spans="1:5" x14ac:dyDescent="0.25">
      <c r="B3" s="1" t="s">
        <v>16</v>
      </c>
      <c r="C3" t="s">
        <v>17</v>
      </c>
      <c r="D3" s="6" t="s">
        <v>18</v>
      </c>
      <c r="E3" s="2" t="str">
        <f>HYPERLINK("http://connext.conti.de/profiles/html/profileView.do?email="&amp;CommentersTable[[#This Row],[email]],"Link")</f>
        <v>Link</v>
      </c>
    </row>
    <row r="4" spans="1:5" x14ac:dyDescent="0.25">
      <c r="B4" s="1" t="s">
        <v>19</v>
      </c>
      <c r="C4" t="s">
        <v>20</v>
      </c>
      <c r="D4" s="6" t="s">
        <v>21</v>
      </c>
      <c r="E4" s="2" t="str">
        <f>HYPERLINK("http://connext.conti.de/profiles/html/profileView.do?email="&amp;CommentersTable[[#This Row],[email]],"Link")</f>
        <v>Link</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SubExportCommenters" altText="Run Export ConNext Profiles based on search query.">
                <anchor moveWithCells="1">
                  <from>
                    <xdr:col>0</xdr:col>
                    <xdr:colOff>47625</xdr:colOff>
                    <xdr:row>1</xdr:row>
                    <xdr:rowOff>38100</xdr:rowOff>
                  </from>
                  <to>
                    <xdr:col>0</xdr:col>
                    <xdr:colOff>561975</xdr:colOff>
                    <xdr:row>2</xdr:row>
                    <xdr:rowOff>76200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3"/>
  <sheetViews>
    <sheetView workbookViewId="0">
      <selection activeCell="A4" sqref="A4:A20"/>
    </sheetView>
  </sheetViews>
  <sheetFormatPr defaultRowHeight="15" x14ac:dyDescent="0.25"/>
  <cols>
    <col min="1" max="1" width="41.28515625" customWidth="1"/>
  </cols>
  <sheetData>
    <row r="1" spans="1:2" ht="13.15" customHeight="1" x14ac:dyDescent="0.25">
      <c r="A1" t="s">
        <v>33</v>
      </c>
      <c r="B1" s="17" t="s">
        <v>230</v>
      </c>
    </row>
    <row r="2" spans="1:2" ht="13.15" customHeight="1" x14ac:dyDescent="0.25"/>
    <row r="3" spans="1:2" x14ac:dyDescent="0.25">
      <c r="A3" t="s">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CN_ExtractEmailsFromCode">
                <anchor moveWithCells="1">
                  <from>
                    <xdr:col>0</xdr:col>
                    <xdr:colOff>1409700</xdr:colOff>
                    <xdr:row>0</xdr:row>
                    <xdr:rowOff>57150</xdr:rowOff>
                  </from>
                  <to>
                    <xdr:col>0</xdr:col>
                    <xdr:colOff>1924050</xdr:colOff>
                    <xdr:row>1</xdr:row>
                    <xdr:rowOff>104775</xdr:rowOff>
                  </to>
                </anchor>
              </controlPr>
            </control>
          </mc:Choice>
        </mc:AlternateContent>
      </controls>
    </mc:Choice>
  </mc:AlternateContent>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79"/>
  <sheetViews>
    <sheetView tabSelected="1" topLeftCell="A34" workbookViewId="0">
      <selection activeCell="F16" sqref="F16"/>
    </sheetView>
  </sheetViews>
  <sheetFormatPr defaultColWidth="9.140625" defaultRowHeight="15" x14ac:dyDescent="0.25"/>
  <cols>
    <col min="1" max="1" width="39.7109375" style="9" customWidth="1"/>
    <col min="2" max="2" width="15.28515625" style="9" customWidth="1"/>
    <col min="3" max="3" width="9.7109375" style="9" customWidth="1"/>
    <col min="4" max="4" width="39.5703125" style="9" customWidth="1"/>
    <col min="5" max="5" width="37.140625" style="9" customWidth="1"/>
    <col min="6" max="6" width="55.28515625" style="9" customWidth="1"/>
    <col min="7" max="16384" width="9.140625" style="9"/>
  </cols>
  <sheetData>
    <row r="1" spans="1:6" x14ac:dyDescent="0.25">
      <c r="A1" s="11" t="s">
        <v>217</v>
      </c>
      <c r="B1" s="1" t="s">
        <v>428</v>
      </c>
    </row>
    <row r="2" spans="1:6" x14ac:dyDescent="0.25">
      <c r="A2" s="11"/>
    </row>
    <row r="3" spans="1:6" x14ac:dyDescent="0.25">
      <c r="A3" s="11" t="s">
        <v>216</v>
      </c>
    </row>
    <row r="4" spans="1:6" x14ac:dyDescent="0.25">
      <c r="A4" s="30" t="s">
        <v>215</v>
      </c>
      <c r="B4" s="31" t="s">
        <v>214</v>
      </c>
      <c r="C4" s="31" t="s">
        <v>213</v>
      </c>
      <c r="D4" s="31" t="s">
        <v>212</v>
      </c>
      <c r="E4" s="32" t="s">
        <v>211</v>
      </c>
      <c r="F4" s="31" t="s">
        <v>395</v>
      </c>
    </row>
    <row r="5" spans="1:6" x14ac:dyDescent="0.25">
      <c r="A5" s="28" t="s">
        <v>210</v>
      </c>
      <c r="B5" s="10" t="s">
        <v>53</v>
      </c>
      <c r="C5" s="10" t="s">
        <v>48</v>
      </c>
      <c r="D5" s="39" t="s">
        <v>209</v>
      </c>
      <c r="E5" s="29" t="s">
        <v>208</v>
      </c>
      <c r="F5" s="36"/>
    </row>
    <row r="6" spans="1:6" ht="30" x14ac:dyDescent="0.25">
      <c r="A6" s="28" t="s">
        <v>207</v>
      </c>
      <c r="B6" s="10" t="s">
        <v>53</v>
      </c>
      <c r="C6" s="10" t="s">
        <v>52</v>
      </c>
      <c r="D6" s="39" t="s">
        <v>206</v>
      </c>
      <c r="E6" s="29" t="s">
        <v>205</v>
      </c>
      <c r="F6" s="10"/>
    </row>
    <row r="7" spans="1:6" x14ac:dyDescent="0.25">
      <c r="A7" s="28" t="s">
        <v>204</v>
      </c>
      <c r="B7" s="10" t="s">
        <v>203</v>
      </c>
      <c r="C7" s="10" t="s">
        <v>52</v>
      </c>
      <c r="D7" s="39" t="s">
        <v>202</v>
      </c>
      <c r="E7" s="29" t="s">
        <v>202</v>
      </c>
      <c r="F7" s="10"/>
    </row>
    <row r="8" spans="1:6" x14ac:dyDescent="0.25">
      <c r="A8" s="28" t="s">
        <v>43</v>
      </c>
      <c r="B8" s="10" t="s">
        <v>49</v>
      </c>
      <c r="C8" s="10" t="s">
        <v>48</v>
      </c>
      <c r="D8" s="39" t="s">
        <v>201</v>
      </c>
      <c r="E8" s="29" t="s">
        <v>200</v>
      </c>
      <c r="F8" s="10"/>
    </row>
    <row r="9" spans="1:6" x14ac:dyDescent="0.25">
      <c r="A9" s="28" t="s">
        <v>199</v>
      </c>
      <c r="B9" s="10" t="s">
        <v>49</v>
      </c>
      <c r="C9" s="10" t="s">
        <v>52</v>
      </c>
      <c r="D9" s="39" t="s">
        <v>198</v>
      </c>
      <c r="E9" s="29" t="s">
        <v>198</v>
      </c>
      <c r="F9" s="10" t="s">
        <v>398</v>
      </c>
    </row>
    <row r="10" spans="1:6" x14ac:dyDescent="0.25">
      <c r="A10" s="28" t="s">
        <v>197</v>
      </c>
      <c r="B10" s="10" t="s">
        <v>49</v>
      </c>
      <c r="C10" s="10" t="s">
        <v>52</v>
      </c>
      <c r="D10" s="39" t="s">
        <v>195</v>
      </c>
      <c r="E10" s="29" t="s">
        <v>195</v>
      </c>
      <c r="F10" s="10" t="s">
        <v>423</v>
      </c>
    </row>
    <row r="11" spans="1:6" x14ac:dyDescent="0.25">
      <c r="A11" s="28" t="s">
        <v>196</v>
      </c>
      <c r="B11" s="10" t="s">
        <v>49</v>
      </c>
      <c r="C11" s="10" t="s">
        <v>52</v>
      </c>
      <c r="D11" s="39" t="s">
        <v>2</v>
      </c>
      <c r="E11" s="29" t="s">
        <v>429</v>
      </c>
      <c r="F11" s="10" t="s">
        <v>423</v>
      </c>
    </row>
    <row r="12" spans="1:6" x14ac:dyDescent="0.25">
      <c r="A12" s="28" t="s">
        <v>194</v>
      </c>
      <c r="B12" s="10" t="s">
        <v>49</v>
      </c>
      <c r="C12" s="10" t="s">
        <v>48</v>
      </c>
      <c r="D12" s="39" t="s">
        <v>193</v>
      </c>
      <c r="E12" s="29" t="s">
        <v>193</v>
      </c>
      <c r="F12" s="10"/>
    </row>
    <row r="13" spans="1:6" x14ac:dyDescent="0.25">
      <c r="A13" s="28" t="s">
        <v>22</v>
      </c>
      <c r="B13" s="10" t="s">
        <v>49</v>
      </c>
      <c r="C13" s="10" t="s">
        <v>48</v>
      </c>
      <c r="D13" s="39" t="s">
        <v>192</v>
      </c>
      <c r="E13" s="29" t="s">
        <v>192</v>
      </c>
      <c r="F13" s="10"/>
    </row>
    <row r="14" spans="1:6" x14ac:dyDescent="0.25">
      <c r="A14" s="28" t="s">
        <v>191</v>
      </c>
      <c r="B14" s="10" t="s">
        <v>49</v>
      </c>
      <c r="C14" s="10" t="s">
        <v>48</v>
      </c>
      <c r="D14" s="39" t="s">
        <v>190</v>
      </c>
      <c r="E14" s="29" t="s">
        <v>190</v>
      </c>
      <c r="F14" s="10"/>
    </row>
    <row r="15" spans="1:6" x14ac:dyDescent="0.25">
      <c r="A15" s="28" t="s">
        <v>189</v>
      </c>
      <c r="B15" s="10" t="s">
        <v>49</v>
      </c>
      <c r="C15" s="10" t="s">
        <v>48</v>
      </c>
      <c r="D15" s="39" t="s">
        <v>188</v>
      </c>
      <c r="E15" s="29" t="s">
        <v>188</v>
      </c>
      <c r="F15" s="10" t="s">
        <v>403</v>
      </c>
    </row>
    <row r="16" spans="1:6" ht="45" x14ac:dyDescent="0.25">
      <c r="A16" s="28" t="s">
        <v>187</v>
      </c>
      <c r="B16" s="10" t="s">
        <v>148</v>
      </c>
      <c r="C16" s="10" t="s">
        <v>52</v>
      </c>
      <c r="D16" s="39" t="s">
        <v>186</v>
      </c>
      <c r="E16" s="29" t="s">
        <v>186</v>
      </c>
      <c r="F16" s="10" t="s">
        <v>397</v>
      </c>
    </row>
    <row r="17" spans="1:6" x14ac:dyDescent="0.25">
      <c r="A17" s="28" t="s">
        <v>185</v>
      </c>
      <c r="B17" s="10" t="s">
        <v>49</v>
      </c>
      <c r="C17" s="10" t="s">
        <v>48</v>
      </c>
      <c r="D17" s="39" t="s">
        <v>184</v>
      </c>
      <c r="E17" s="29" t="s">
        <v>184</v>
      </c>
      <c r="F17" s="10"/>
    </row>
    <row r="18" spans="1:6" x14ac:dyDescent="0.25">
      <c r="A18" s="28" t="s">
        <v>183</v>
      </c>
      <c r="B18" s="10" t="s">
        <v>49</v>
      </c>
      <c r="C18" s="10" t="s">
        <v>48</v>
      </c>
      <c r="D18" s="39" t="s">
        <v>182</v>
      </c>
      <c r="E18" s="29" t="s">
        <v>182</v>
      </c>
      <c r="F18" s="10" t="s">
        <v>396</v>
      </c>
    </row>
    <row r="19" spans="1:6" x14ac:dyDescent="0.25">
      <c r="A19" s="28" t="s">
        <v>181</v>
      </c>
      <c r="B19" s="10" t="s">
        <v>49</v>
      </c>
      <c r="C19" s="10" t="s">
        <v>48</v>
      </c>
      <c r="D19" s="39" t="s">
        <v>180</v>
      </c>
      <c r="E19" s="29" t="s">
        <v>180</v>
      </c>
      <c r="F19" s="10">
        <v>90021347</v>
      </c>
    </row>
    <row r="20" spans="1:6" x14ac:dyDescent="0.25">
      <c r="A20" s="28" t="s">
        <v>179</v>
      </c>
      <c r="B20" s="10" t="s">
        <v>49</v>
      </c>
      <c r="C20" s="10" t="s">
        <v>48</v>
      </c>
      <c r="D20" s="39" t="s">
        <v>178</v>
      </c>
      <c r="E20" s="29" t="s">
        <v>178</v>
      </c>
      <c r="F20" s="10"/>
    </row>
    <row r="21" spans="1:6" x14ac:dyDescent="0.25">
      <c r="A21" s="28" t="s">
        <v>177</v>
      </c>
      <c r="B21" s="10" t="s">
        <v>49</v>
      </c>
      <c r="C21" s="10" t="s">
        <v>48</v>
      </c>
      <c r="D21" s="39" t="s">
        <v>176</v>
      </c>
      <c r="E21" s="29" t="s">
        <v>176</v>
      </c>
      <c r="F21" s="10" t="s">
        <v>422</v>
      </c>
    </row>
    <row r="22" spans="1:6" x14ac:dyDescent="0.25">
      <c r="A22" s="28" t="s">
        <v>175</v>
      </c>
      <c r="B22" s="10" t="s">
        <v>49</v>
      </c>
      <c r="C22" s="10" t="s">
        <v>52</v>
      </c>
      <c r="D22" s="39" t="s">
        <v>174</v>
      </c>
      <c r="E22" s="29" t="s">
        <v>174</v>
      </c>
      <c r="F22" s="10"/>
    </row>
    <row r="23" spans="1:6" x14ac:dyDescent="0.25">
      <c r="A23" s="28" t="s">
        <v>173</v>
      </c>
      <c r="B23" s="10" t="s">
        <v>49</v>
      </c>
      <c r="C23" s="10" t="s">
        <v>48</v>
      </c>
      <c r="D23" s="39" t="s">
        <v>172</v>
      </c>
      <c r="E23" s="29" t="s">
        <v>172</v>
      </c>
      <c r="F23" s="10"/>
    </row>
    <row r="24" spans="1:6" x14ac:dyDescent="0.25">
      <c r="A24" s="28" t="s">
        <v>171</v>
      </c>
      <c r="B24" s="10" t="s">
        <v>49</v>
      </c>
      <c r="C24" s="10" t="s">
        <v>48</v>
      </c>
      <c r="D24" s="39" t="s">
        <v>170</v>
      </c>
      <c r="E24" s="29" t="s">
        <v>170</v>
      </c>
      <c r="F24" s="10"/>
    </row>
    <row r="25" spans="1:6" x14ac:dyDescent="0.25">
      <c r="A25" s="28" t="s">
        <v>169</v>
      </c>
      <c r="B25" s="10" t="s">
        <v>49</v>
      </c>
      <c r="C25" s="10" t="s">
        <v>48</v>
      </c>
      <c r="D25" s="39" t="s">
        <v>168</v>
      </c>
      <c r="E25" s="29" t="s">
        <v>168</v>
      </c>
      <c r="F25" s="10"/>
    </row>
    <row r="26" spans="1:6" x14ac:dyDescent="0.25">
      <c r="A26" s="28" t="s">
        <v>167</v>
      </c>
      <c r="B26" s="10" t="s">
        <v>66</v>
      </c>
      <c r="C26" s="10" t="s">
        <v>166</v>
      </c>
      <c r="D26" s="39" t="s">
        <v>165</v>
      </c>
      <c r="E26" s="29" t="s">
        <v>165</v>
      </c>
      <c r="F26" s="10"/>
    </row>
    <row r="27" spans="1:6" x14ac:dyDescent="0.25">
      <c r="A27" s="28" t="s">
        <v>164</v>
      </c>
      <c r="B27" s="10" t="s">
        <v>49</v>
      </c>
      <c r="C27" s="10" t="s">
        <v>48</v>
      </c>
      <c r="D27" s="39" t="s">
        <v>163</v>
      </c>
      <c r="E27" s="29" t="s">
        <v>163</v>
      </c>
      <c r="F27" s="10"/>
    </row>
    <row r="28" spans="1:6" x14ac:dyDescent="0.25">
      <c r="A28" s="28" t="s">
        <v>162</v>
      </c>
      <c r="B28" s="10" t="s">
        <v>66</v>
      </c>
      <c r="C28" s="10" t="s">
        <v>52</v>
      </c>
      <c r="D28" s="39" t="s">
        <v>161</v>
      </c>
      <c r="E28" s="29" t="s">
        <v>161</v>
      </c>
      <c r="F28" s="10"/>
    </row>
    <row r="29" spans="1:6" x14ac:dyDescent="0.25">
      <c r="A29" s="28" t="s">
        <v>42</v>
      </c>
      <c r="B29" s="10" t="s">
        <v>49</v>
      </c>
      <c r="C29" s="10" t="s">
        <v>48</v>
      </c>
      <c r="D29" s="39" t="s">
        <v>160</v>
      </c>
      <c r="E29" s="29" t="s">
        <v>160</v>
      </c>
      <c r="F29" s="10"/>
    </row>
    <row r="30" spans="1:6" x14ac:dyDescent="0.25">
      <c r="A30" s="28" t="s">
        <v>159</v>
      </c>
      <c r="B30" s="10" t="s">
        <v>148</v>
      </c>
      <c r="C30" s="10" t="s">
        <v>52</v>
      </c>
      <c r="D30" s="39" t="s">
        <v>158</v>
      </c>
      <c r="E30" s="29" t="s">
        <v>158</v>
      </c>
      <c r="F30" s="10"/>
    </row>
    <row r="31" spans="1:6" ht="30" x14ac:dyDescent="0.25">
      <c r="A31" s="28" t="s">
        <v>157</v>
      </c>
      <c r="B31" s="10" t="s">
        <v>53</v>
      </c>
      <c r="C31" s="10" t="s">
        <v>52</v>
      </c>
      <c r="D31" s="39" t="s">
        <v>156</v>
      </c>
      <c r="E31" s="29" t="s">
        <v>155</v>
      </c>
      <c r="F31" s="10"/>
    </row>
    <row r="32" spans="1:6" x14ac:dyDescent="0.25">
      <c r="A32" s="28" t="s">
        <v>154</v>
      </c>
      <c r="B32" s="10" t="s">
        <v>53</v>
      </c>
      <c r="C32" s="10" t="s">
        <v>48</v>
      </c>
      <c r="D32" s="39" t="s">
        <v>153</v>
      </c>
      <c r="E32" s="29" t="s">
        <v>152</v>
      </c>
      <c r="F32" s="10"/>
    </row>
    <row r="33" spans="1:6" x14ac:dyDescent="0.25">
      <c r="A33" s="28" t="s">
        <v>151</v>
      </c>
      <c r="B33" s="10" t="s">
        <v>49</v>
      </c>
      <c r="C33" s="10" t="s">
        <v>48</v>
      </c>
      <c r="D33" s="39" t="s">
        <v>150</v>
      </c>
      <c r="E33" s="29" t="s">
        <v>150</v>
      </c>
      <c r="F33" s="37" t="s">
        <v>424</v>
      </c>
    </row>
    <row r="34" spans="1:6" x14ac:dyDescent="0.25">
      <c r="A34" s="28" t="s">
        <v>149</v>
      </c>
      <c r="B34" s="10" t="s">
        <v>148</v>
      </c>
      <c r="C34" s="10" t="s">
        <v>48</v>
      </c>
      <c r="D34" s="39" t="s">
        <v>147</v>
      </c>
      <c r="E34" s="29" t="s">
        <v>147</v>
      </c>
      <c r="F34" s="10"/>
    </row>
    <row r="35" spans="1:6" x14ac:dyDescent="0.25">
      <c r="A35" s="28" t="s">
        <v>146</v>
      </c>
      <c r="B35" s="10" t="s">
        <v>62</v>
      </c>
      <c r="C35" s="10" t="s">
        <v>52</v>
      </c>
      <c r="D35" s="39" t="s">
        <v>145</v>
      </c>
      <c r="E35" s="29" t="s">
        <v>145</v>
      </c>
      <c r="F35" s="10"/>
    </row>
    <row r="36" spans="1:6" x14ac:dyDescent="0.25">
      <c r="A36" s="28" t="s">
        <v>144</v>
      </c>
      <c r="B36" s="10" t="s">
        <v>49</v>
      </c>
      <c r="C36" s="10" t="s">
        <v>48</v>
      </c>
      <c r="D36" s="39" t="s">
        <v>143</v>
      </c>
      <c r="E36" s="29" t="s">
        <v>143</v>
      </c>
      <c r="F36" s="10" t="s">
        <v>398</v>
      </c>
    </row>
    <row r="37" spans="1:6" x14ac:dyDescent="0.25">
      <c r="A37" s="28" t="s">
        <v>142</v>
      </c>
      <c r="B37" s="10" t="s">
        <v>49</v>
      </c>
      <c r="C37" s="10" t="s">
        <v>48</v>
      </c>
      <c r="D37" s="39" t="s">
        <v>141</v>
      </c>
      <c r="E37" s="29" t="s">
        <v>141</v>
      </c>
      <c r="F37" s="10"/>
    </row>
    <row r="38" spans="1:6" ht="30" x14ac:dyDescent="0.25">
      <c r="A38" s="28" t="s">
        <v>140</v>
      </c>
      <c r="B38" s="10" t="s">
        <v>66</v>
      </c>
      <c r="C38" s="10" t="s">
        <v>48</v>
      </c>
      <c r="D38" s="39" t="s">
        <v>137</v>
      </c>
      <c r="E38" s="29" t="s">
        <v>139</v>
      </c>
      <c r="F38" s="10"/>
    </row>
    <row r="39" spans="1:6" ht="30" x14ac:dyDescent="0.25">
      <c r="A39" s="28" t="s">
        <v>138</v>
      </c>
      <c r="B39" s="10" t="s">
        <v>66</v>
      </c>
      <c r="C39" s="10" t="s">
        <v>48</v>
      </c>
      <c r="D39" s="39" t="s">
        <v>137</v>
      </c>
      <c r="E39" s="29" t="s">
        <v>136</v>
      </c>
      <c r="F39" s="10"/>
    </row>
    <row r="40" spans="1:6" x14ac:dyDescent="0.25">
      <c r="A40" s="28" t="s">
        <v>135</v>
      </c>
      <c r="B40" s="10" t="s">
        <v>66</v>
      </c>
      <c r="C40" s="10" t="s">
        <v>48</v>
      </c>
      <c r="D40" s="39" t="s">
        <v>133</v>
      </c>
      <c r="E40" s="29" t="s">
        <v>133</v>
      </c>
      <c r="F40" s="10"/>
    </row>
    <row r="41" spans="1:6" x14ac:dyDescent="0.25">
      <c r="A41" s="28" t="s">
        <v>134</v>
      </c>
      <c r="B41" s="10" t="s">
        <v>66</v>
      </c>
      <c r="C41" s="10" t="s">
        <v>48</v>
      </c>
      <c r="D41" s="39" t="s">
        <v>133</v>
      </c>
      <c r="E41" s="29" t="s">
        <v>133</v>
      </c>
      <c r="F41" s="10"/>
    </row>
    <row r="42" spans="1:6" x14ac:dyDescent="0.25">
      <c r="A42" s="28" t="s">
        <v>132</v>
      </c>
      <c r="B42" s="10" t="s">
        <v>49</v>
      </c>
      <c r="C42" s="10" t="s">
        <v>48</v>
      </c>
      <c r="D42" s="39" t="s">
        <v>131</v>
      </c>
      <c r="E42" s="29" t="s">
        <v>131</v>
      </c>
      <c r="F42" s="10"/>
    </row>
    <row r="43" spans="1:6" x14ac:dyDescent="0.25">
      <c r="A43" s="28" t="s">
        <v>130</v>
      </c>
      <c r="B43" s="10" t="s">
        <v>49</v>
      </c>
      <c r="C43" s="10" t="s">
        <v>52</v>
      </c>
      <c r="D43" s="39" t="s">
        <v>129</v>
      </c>
      <c r="E43" s="29" t="s">
        <v>129</v>
      </c>
      <c r="F43" s="10"/>
    </row>
    <row r="44" spans="1:6" x14ac:dyDescent="0.25">
      <c r="A44" s="28" t="s">
        <v>128</v>
      </c>
      <c r="B44" s="10" t="s">
        <v>49</v>
      </c>
      <c r="C44" s="10" t="s">
        <v>52</v>
      </c>
      <c r="D44" s="39" t="s">
        <v>127</v>
      </c>
      <c r="E44" s="29" t="s">
        <v>126</v>
      </c>
      <c r="F44" s="10"/>
    </row>
    <row r="45" spans="1:6" x14ac:dyDescent="0.25">
      <c r="A45" s="28" t="s">
        <v>125</v>
      </c>
      <c r="B45" s="10" t="s">
        <v>124</v>
      </c>
      <c r="C45" s="10" t="s">
        <v>52</v>
      </c>
      <c r="D45" s="39" t="s">
        <v>123</v>
      </c>
      <c r="E45" s="29" t="s">
        <v>122</v>
      </c>
      <c r="F45" s="10" t="s">
        <v>398</v>
      </c>
    </row>
    <row r="46" spans="1:6" x14ac:dyDescent="0.25">
      <c r="A46" s="28" t="s">
        <v>121</v>
      </c>
      <c r="B46" s="10" t="s">
        <v>120</v>
      </c>
      <c r="C46" s="10" t="s">
        <v>52</v>
      </c>
      <c r="D46" s="39" t="s">
        <v>119</v>
      </c>
      <c r="E46" s="29" t="s">
        <v>119</v>
      </c>
      <c r="F46" s="10" t="s">
        <v>398</v>
      </c>
    </row>
    <row r="47" spans="1:6" x14ac:dyDescent="0.25">
      <c r="A47" s="28" t="s">
        <v>118</v>
      </c>
      <c r="B47" s="10" t="s">
        <v>49</v>
      </c>
      <c r="C47" s="10" t="s">
        <v>48</v>
      </c>
      <c r="D47" s="39" t="s">
        <v>117</v>
      </c>
      <c r="E47" s="29" t="s">
        <v>117</v>
      </c>
      <c r="F47" s="10"/>
    </row>
    <row r="48" spans="1:6" x14ac:dyDescent="0.25">
      <c r="A48" s="28" t="s">
        <v>116</v>
      </c>
      <c r="B48" s="10" t="s">
        <v>49</v>
      </c>
      <c r="C48" s="10" t="s">
        <v>48</v>
      </c>
      <c r="D48" s="39" t="s">
        <v>115</v>
      </c>
      <c r="E48" s="29" t="s">
        <v>115</v>
      </c>
      <c r="F48" s="10"/>
    </row>
    <row r="49" spans="1:6" x14ac:dyDescent="0.25">
      <c r="A49" s="28" t="s">
        <v>114</v>
      </c>
      <c r="B49" s="10" t="s">
        <v>49</v>
      </c>
      <c r="C49" s="10" t="s">
        <v>48</v>
      </c>
      <c r="D49" s="39" t="s">
        <v>113</v>
      </c>
      <c r="E49" s="29" t="s">
        <v>113</v>
      </c>
      <c r="F49" s="10"/>
    </row>
    <row r="50" spans="1:6" x14ac:dyDescent="0.25">
      <c r="A50" s="28" t="s">
        <v>112</v>
      </c>
      <c r="B50" s="10" t="s">
        <v>49</v>
      </c>
      <c r="C50" s="10" t="s">
        <v>48</v>
      </c>
      <c r="D50" s="39" t="s">
        <v>111</v>
      </c>
      <c r="E50" s="29" t="s">
        <v>111</v>
      </c>
      <c r="F50" s="10"/>
    </row>
    <row r="51" spans="1:6" x14ac:dyDescent="0.25">
      <c r="A51" s="28" t="s">
        <v>110</v>
      </c>
      <c r="B51" s="10" t="s">
        <v>53</v>
      </c>
      <c r="C51" s="10" t="s">
        <v>48</v>
      </c>
      <c r="D51" s="39" t="s">
        <v>109</v>
      </c>
      <c r="E51" s="29" t="s">
        <v>108</v>
      </c>
      <c r="F51" s="10"/>
    </row>
    <row r="52" spans="1:6" x14ac:dyDescent="0.25">
      <c r="A52" s="28" t="s">
        <v>107</v>
      </c>
      <c r="B52" s="10" t="s">
        <v>49</v>
      </c>
      <c r="C52" s="10" t="s">
        <v>48</v>
      </c>
      <c r="D52" s="39" t="s">
        <v>106</v>
      </c>
      <c r="E52" s="29" t="s">
        <v>106</v>
      </c>
      <c r="F52" s="10" t="s">
        <v>396</v>
      </c>
    </row>
    <row r="53" spans="1:6" x14ac:dyDescent="0.25">
      <c r="A53" s="28" t="s">
        <v>105</v>
      </c>
      <c r="B53" s="10" t="s">
        <v>49</v>
      </c>
      <c r="C53" s="10" t="s">
        <v>48</v>
      </c>
      <c r="D53" s="39" t="s">
        <v>104</v>
      </c>
      <c r="E53" s="29" t="s">
        <v>104</v>
      </c>
      <c r="F53" s="10"/>
    </row>
    <row r="54" spans="1:6" x14ac:dyDescent="0.25">
      <c r="A54" s="28" t="s">
        <v>103</v>
      </c>
      <c r="B54" s="10" t="s">
        <v>62</v>
      </c>
      <c r="C54" s="10" t="s">
        <v>48</v>
      </c>
      <c r="D54" s="39" t="s">
        <v>102</v>
      </c>
      <c r="E54" s="29" t="s">
        <v>102</v>
      </c>
      <c r="F54" s="10" t="s">
        <v>398</v>
      </c>
    </row>
    <row r="55" spans="1:6" x14ac:dyDescent="0.25">
      <c r="A55" s="28" t="s">
        <v>101</v>
      </c>
      <c r="B55" s="10" t="s">
        <v>62</v>
      </c>
      <c r="C55" s="10" t="s">
        <v>52</v>
      </c>
      <c r="D55" s="39" t="s">
        <v>100</v>
      </c>
      <c r="E55" s="29" t="s">
        <v>100</v>
      </c>
      <c r="F55" s="10"/>
    </row>
    <row r="56" spans="1:6" x14ac:dyDescent="0.25">
      <c r="A56" s="28" t="s">
        <v>99</v>
      </c>
      <c r="B56" s="10" t="s">
        <v>49</v>
      </c>
      <c r="C56" s="10" t="s">
        <v>48</v>
      </c>
      <c r="D56" s="39" t="s">
        <v>98</v>
      </c>
      <c r="E56" s="29" t="s">
        <v>98</v>
      </c>
      <c r="F56" s="10" t="s">
        <v>426</v>
      </c>
    </row>
    <row r="57" spans="1:6" x14ac:dyDescent="0.25">
      <c r="A57" s="28" t="s">
        <v>97</v>
      </c>
      <c r="B57" s="10" t="s">
        <v>49</v>
      </c>
      <c r="C57" s="10" t="s">
        <v>48</v>
      </c>
      <c r="D57" s="39" t="s">
        <v>96</v>
      </c>
      <c r="E57" s="29" t="s">
        <v>96</v>
      </c>
      <c r="F57" s="10"/>
    </row>
    <row r="58" spans="1:6" x14ac:dyDescent="0.25">
      <c r="A58" s="28" t="s">
        <v>95</v>
      </c>
      <c r="B58" s="10" t="s">
        <v>49</v>
      </c>
      <c r="C58" s="10" t="s">
        <v>48</v>
      </c>
      <c r="D58" s="39" t="s">
        <v>94</v>
      </c>
      <c r="E58" s="29" t="s">
        <v>94</v>
      </c>
      <c r="F58" s="10"/>
    </row>
    <row r="59" spans="1:6" x14ac:dyDescent="0.25">
      <c r="A59" s="28" t="s">
        <v>93</v>
      </c>
      <c r="B59" s="10" t="s">
        <v>49</v>
      </c>
      <c r="C59" s="10" t="s">
        <v>48</v>
      </c>
      <c r="D59" s="39" t="s">
        <v>92</v>
      </c>
      <c r="E59" s="29" t="s">
        <v>92</v>
      </c>
      <c r="F59" s="10"/>
    </row>
    <row r="60" spans="1:6" x14ac:dyDescent="0.25">
      <c r="A60" s="28" t="s">
        <v>91</v>
      </c>
      <c r="B60" s="10" t="s">
        <v>49</v>
      </c>
      <c r="C60" s="10" t="s">
        <v>48</v>
      </c>
      <c r="D60" s="39" t="s">
        <v>90</v>
      </c>
      <c r="E60" s="29" t="s">
        <v>90</v>
      </c>
      <c r="F60" s="10"/>
    </row>
    <row r="61" spans="1:6" x14ac:dyDescent="0.25">
      <c r="A61" s="28" t="s">
        <v>89</v>
      </c>
      <c r="B61" s="10" t="s">
        <v>66</v>
      </c>
      <c r="C61" s="10" t="s">
        <v>48</v>
      </c>
      <c r="D61" s="39" t="s">
        <v>65</v>
      </c>
      <c r="E61" s="29" t="s">
        <v>88</v>
      </c>
      <c r="F61" s="10"/>
    </row>
    <row r="62" spans="1:6" x14ac:dyDescent="0.25">
      <c r="A62" s="28" t="s">
        <v>87</v>
      </c>
      <c r="B62" s="10" t="s">
        <v>66</v>
      </c>
      <c r="C62" s="10" t="s">
        <v>48</v>
      </c>
      <c r="D62" s="39" t="s">
        <v>65</v>
      </c>
      <c r="E62" s="29" t="s">
        <v>86</v>
      </c>
      <c r="F62" s="10"/>
    </row>
    <row r="63" spans="1:6" x14ac:dyDescent="0.25">
      <c r="A63" s="28" t="s">
        <v>85</v>
      </c>
      <c r="B63" s="10" t="s">
        <v>66</v>
      </c>
      <c r="C63" s="10" t="s">
        <v>48</v>
      </c>
      <c r="D63" s="39" t="s">
        <v>65</v>
      </c>
      <c r="E63" s="29" t="s">
        <v>84</v>
      </c>
      <c r="F63" s="10"/>
    </row>
    <row r="64" spans="1:6" x14ac:dyDescent="0.25">
      <c r="A64" s="28" t="s">
        <v>83</v>
      </c>
      <c r="B64" s="10" t="s">
        <v>66</v>
      </c>
      <c r="C64" s="10" t="s">
        <v>48</v>
      </c>
      <c r="D64" s="39" t="s">
        <v>65</v>
      </c>
      <c r="E64" s="29" t="s">
        <v>82</v>
      </c>
      <c r="F64" s="10"/>
    </row>
    <row r="65" spans="1:6" x14ac:dyDescent="0.25">
      <c r="A65" s="28" t="s">
        <v>81</v>
      </c>
      <c r="B65" s="10" t="s">
        <v>66</v>
      </c>
      <c r="C65" s="10" t="s">
        <v>48</v>
      </c>
      <c r="D65" s="39" t="s">
        <v>65</v>
      </c>
      <c r="E65" s="29" t="s">
        <v>80</v>
      </c>
      <c r="F65" s="10"/>
    </row>
    <row r="66" spans="1:6" x14ac:dyDescent="0.25">
      <c r="A66" s="28" t="s">
        <v>79</v>
      </c>
      <c r="B66" s="10" t="s">
        <v>66</v>
      </c>
      <c r="C66" s="10" t="s">
        <v>48</v>
      </c>
      <c r="D66" s="39" t="s">
        <v>65</v>
      </c>
      <c r="E66" s="29" t="s">
        <v>78</v>
      </c>
      <c r="F66" s="10"/>
    </row>
    <row r="67" spans="1:6" x14ac:dyDescent="0.25">
      <c r="A67" s="28" t="s">
        <v>77</v>
      </c>
      <c r="B67" s="10" t="s">
        <v>66</v>
      </c>
      <c r="C67" s="10" t="s">
        <v>48</v>
      </c>
      <c r="D67" s="39" t="s">
        <v>65</v>
      </c>
      <c r="E67" s="29" t="s">
        <v>76</v>
      </c>
      <c r="F67" s="10"/>
    </row>
    <row r="68" spans="1:6" x14ac:dyDescent="0.25">
      <c r="A68" s="28" t="s">
        <v>75</v>
      </c>
      <c r="B68" s="10" t="s">
        <v>66</v>
      </c>
      <c r="C68" s="10" t="s">
        <v>48</v>
      </c>
      <c r="D68" s="39" t="s">
        <v>65</v>
      </c>
      <c r="E68" s="29" t="s">
        <v>74</v>
      </c>
      <c r="F68" s="10"/>
    </row>
    <row r="69" spans="1:6" x14ac:dyDescent="0.25">
      <c r="A69" s="28" t="s">
        <v>73</v>
      </c>
      <c r="B69" s="10" t="s">
        <v>66</v>
      </c>
      <c r="C69" s="10" t="s">
        <v>48</v>
      </c>
      <c r="D69" s="39" t="s">
        <v>65</v>
      </c>
      <c r="E69" s="29" t="s">
        <v>72</v>
      </c>
      <c r="F69" s="10"/>
    </row>
    <row r="70" spans="1:6" x14ac:dyDescent="0.25">
      <c r="A70" s="28" t="s">
        <v>71</v>
      </c>
      <c r="B70" s="10" t="s">
        <v>66</v>
      </c>
      <c r="C70" s="10" t="s">
        <v>48</v>
      </c>
      <c r="D70" s="39" t="s">
        <v>65</v>
      </c>
      <c r="E70" s="29" t="s">
        <v>70</v>
      </c>
      <c r="F70" s="10"/>
    </row>
    <row r="71" spans="1:6" x14ac:dyDescent="0.25">
      <c r="A71" s="28" t="s">
        <v>69</v>
      </c>
      <c r="B71" s="10" t="s">
        <v>66</v>
      </c>
      <c r="C71" s="10" t="s">
        <v>48</v>
      </c>
      <c r="D71" s="39" t="s">
        <v>65</v>
      </c>
      <c r="E71" s="29" t="s">
        <v>68</v>
      </c>
      <c r="F71" s="10"/>
    </row>
    <row r="72" spans="1:6" x14ac:dyDescent="0.25">
      <c r="A72" s="28" t="s">
        <v>67</v>
      </c>
      <c r="B72" s="10" t="s">
        <v>66</v>
      </c>
      <c r="C72" s="10" t="s">
        <v>48</v>
      </c>
      <c r="D72" s="39" t="s">
        <v>65</v>
      </c>
      <c r="E72" s="29" t="s">
        <v>64</v>
      </c>
      <c r="F72" s="10"/>
    </row>
    <row r="73" spans="1:6" x14ac:dyDescent="0.25">
      <c r="A73" s="28" t="s">
        <v>63</v>
      </c>
      <c r="B73" s="10" t="s">
        <v>62</v>
      </c>
      <c r="C73" s="10" t="s">
        <v>48</v>
      </c>
      <c r="D73" s="39" t="s">
        <v>61</v>
      </c>
      <c r="E73" s="29" t="s">
        <v>61</v>
      </c>
      <c r="F73" s="34"/>
    </row>
    <row r="74" spans="1:6" x14ac:dyDescent="0.25">
      <c r="A74" s="28" t="s">
        <v>60</v>
      </c>
      <c r="B74" s="10" t="s">
        <v>49</v>
      </c>
      <c r="C74" s="10" t="s">
        <v>48</v>
      </c>
      <c r="D74" s="39" t="s">
        <v>59</v>
      </c>
      <c r="E74" s="29" t="s">
        <v>59</v>
      </c>
      <c r="F74" s="37" t="s">
        <v>425</v>
      </c>
    </row>
    <row r="75" spans="1:6" x14ac:dyDescent="0.25">
      <c r="A75" s="28" t="s">
        <v>58</v>
      </c>
      <c r="B75" s="10" t="s">
        <v>49</v>
      </c>
      <c r="C75" s="10" t="s">
        <v>48</v>
      </c>
      <c r="D75" s="39" t="s">
        <v>57</v>
      </c>
      <c r="E75" s="29" t="s">
        <v>57</v>
      </c>
      <c r="F75" s="10"/>
    </row>
    <row r="76" spans="1:6" x14ac:dyDescent="0.25">
      <c r="A76" s="28" t="s">
        <v>56</v>
      </c>
      <c r="B76" s="10" t="s">
        <v>53</v>
      </c>
      <c r="C76" s="10" t="s">
        <v>52</v>
      </c>
      <c r="D76" s="39" t="s">
        <v>55</v>
      </c>
      <c r="E76" s="29" t="s">
        <v>55</v>
      </c>
      <c r="F76" s="10"/>
    </row>
    <row r="77" spans="1:6" x14ac:dyDescent="0.25">
      <c r="A77" s="28" t="s">
        <v>54</v>
      </c>
      <c r="B77" s="10" t="s">
        <v>53</v>
      </c>
      <c r="C77" s="10" t="s">
        <v>52</v>
      </c>
      <c r="D77" s="39" t="s">
        <v>51</v>
      </c>
      <c r="E77" s="29" t="s">
        <v>51</v>
      </c>
      <c r="F77" s="10"/>
    </row>
    <row r="78" spans="1:6" x14ac:dyDescent="0.25">
      <c r="A78" s="33" t="s">
        <v>50</v>
      </c>
      <c r="B78" s="34" t="s">
        <v>49</v>
      </c>
      <c r="C78" s="34" t="s">
        <v>48</v>
      </c>
      <c r="D78" s="40" t="s">
        <v>47</v>
      </c>
      <c r="E78" s="35" t="s">
        <v>47</v>
      </c>
      <c r="F78" s="34"/>
    </row>
    <row r="79" spans="1:6" x14ac:dyDescent="0.25">
      <c r="A79" s="33" t="s">
        <v>399</v>
      </c>
      <c r="B79" s="34"/>
      <c r="C79" s="34"/>
      <c r="D79" s="40"/>
      <c r="E79" s="35"/>
      <c r="F79" s="34">
        <v>500110675</v>
      </c>
    </row>
  </sheetData>
  <hyperlinks>
    <hyperlink ref="F33" r:id="rId1" xr:uid="{573DE5DA-2D85-4B47-A2E3-B50E3DFA5869}"/>
    <hyperlink ref="F74" r:id="rId2" xr:uid="{DCC9E894-FBF5-45C8-84F9-4E202B60A5CE}"/>
    <hyperlink ref="B1" r:id="rId3" xr:uid="{69963412-CF5C-43BD-9A91-C3860BCFBCF1}"/>
  </hyperlinks>
  <pageMargins left="0.7" right="0.7" top="0.75" bottom="0.75" header="0.3" footer="0.3"/>
  <pageSetup orientation="portrait" r:id="rId4"/>
  <legacyDrawing r:id="rId5"/>
  <tableParts count="1">
    <tablePart r:id="rId6"/>
  </tableParts>
</worksheet>
</file>

<file path=customUI/customUI.xml><?xml version="1.0" encoding="utf-8"?>
<!--RibbonX Visual Designer 2.33 for Microsoft Excel CustomUI . XML Code produced on 2018-05-14-->
<customUI xmlns="http://schemas.microsoft.com/office/2006/01/customui" onLoad="Ribbon_OnLoad">
  <ribbon>
    <tabs>
      <tab id="Tab_Tools" label="Tools">
        <group id="grpConNext" label="ConNext">
          <button description="Export profile search to Table" id="Button1" imageMso="ImportMoreMenu" label="Export Profiles" size="large" supertip="Export ConNext profile search results to User Table" onAction="Ribbon_CN_ExportProfiles"/>
          <button description="Generate ConNext Mentions." id="btnCNMentions" label="@Mentions" screentip="Generate ConNext Mentions from email Table Column." size="large" supertip="Generate ConNext Mentions from email Table Column. Output will be copied to the clipboard. If fclip is installed you can paste it also in the RichText Editor. Else paste in the Source code." onAction="Ribbon_UserTable_CNGetMentions"/>
          <separator id="Separator1"/>
          <button description="Generate User Table." id="btnCNGenTable" imageMso="NewMeetingWithContact" label="Gen Table" screentip="Generate User Table from email Table Column." size="large" supertip="Generate Rich-Text User table with Profile pictures and @Mention." onAction="Ribbon_UserTable_CNGenTable"/>
          <button description="Settings for User Data Export" id="btnGenTableConfig" imageMso="TableSharePointListsModifyColumnsAndSettings" label="Settings" size="large" supertip="Open GenTable Config Sheet" onAction="Ribbon_OpenGenTableConfig"/>
        </group>
        <group id="Group2" label="User Table">
          <button description="Update User data in Table" id="Button2" imageMso="DistributionListUpdateMembers" label="Update" size="large" supertip="Update User data in Table from different source (Lotus Notes, ConNext or Active Directory) to Table as defined in User Config" onAction="Ribbon_UpdateUserTable"/>
          <button description="Settings for User Data Export" id="btnUserConfig" imageMso="TableSharePointListsModifyColumnsAndSettings" label="Settings" size="large" supertip="Open User Config" onAction="Ribbon_OpenUserConfig"/>
          <button description="Email to column in selected Table." id="btnCol2Email" imageMso="CreateEmail" label="MailTo" screentip="Write Email to visible email list in selected table column." size="normal" supertip="Uses mailto protocol. Only visible cells are used. Email for current column will be checked. If no email string it will look for a column with name 'email' in the table." onAction="Ribbon_TableEmail"/>
          <button description="Convert column to delimited string and copy to clipboard" id="btnCol2Txt" imageMso="CommaSign" label="ColumnToText" screentip="Convert selected table column to a string and copy it to the clipboard." size="normal" supertip="Convert selected column in a Table (only visible cells) to a string separated by a user-input delimiter and copy it to clipboard. Use ; as delimiter for pasting to an email or calendar entry assignee field." onAction="Ribbon_TableColumnToText"/>
          <button description="Convert column to ; delimited string and copy to clipboard" id="btnColEmail2Txt" label="ColEmailToText" screentip="Convert email table column to a string separated by ; and copy it to the clipboard." size="normal" supertip="Convert email column in a Table to a string separated by ; and copy it to clipboard. Check if current cell has an email compatible format. If not, it looks for a column named 'email'. Only visible cells are exported. You can then paste the string in a calendar or email assignee field entry." onAction="Ribbon_TableColumnEmailToClipboard"/>
        </group>
        <group id="Group3" label="Help">
          <button description="Help" id="btnHelp" imageMso="ContentsAndIndex" label="Help" size="large" supertip="Open Blog post" onAction="Ribbon_Help"/>
          <button description="About" id="btnAbout" imageMso="About" label="About" size="large" supertip="About ConNext/Lotus Notes Export Tool" onAction="Ribbon_Abou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AD11E5-484D-461A-86C7-863D7410CF7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Charts</vt:lpstr>
      <vt:lpstr>PivotTable</vt:lpstr>
      <vt:lpstr>Transform</vt:lpstr>
      <vt:lpstr>Profiles</vt:lpstr>
      <vt:lpstr>UserConfig</vt:lpstr>
      <vt:lpstr>GenTableConfig</vt:lpstr>
      <vt:lpstr>Attendees</vt:lpstr>
      <vt:lpstr>FeedImport</vt:lpstr>
      <vt:lpstr>FeedExport</vt:lpstr>
      <vt:lpstr>Likers</vt:lpstr>
      <vt:lpstr>Commenters</vt:lpstr>
      <vt:lpstr>Extract Emails</vt:lpstr>
      <vt:lpstr>AD_Fields</vt:lpstr>
      <vt:lpstr>ADKey</vt:lpstr>
      <vt:lpstr>Likers!BlogUrl</vt:lpstr>
      <vt:lpstr>EventUrl</vt:lpstr>
      <vt:lpstr>FeedExport!FeedUrl</vt:lpstr>
      <vt:lpstr>GenTable_nbCol</vt:lpstr>
      <vt:lpstr>GenTable_picSize</vt:lpstr>
      <vt:lpstr>GenTable_tdFill</vt:lpstr>
      <vt:lpstr>LDAPDisplayName</vt:lpstr>
      <vt:lpstr>UserConfig!LNFileName</vt:lpstr>
      <vt:lpstr>LNKey</vt:lpstr>
      <vt:lpstr>UserConfig!LNServer</vt:lpstr>
      <vt:lpstr>QueryLink</vt:lpstr>
      <vt:lpstr>QueryString</vt:lpstr>
      <vt:lpstr>QueryTimestamp</vt:lpstr>
      <vt:lpstr>SourceCode</vt:lpstr>
      <vt:lpstr>Url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Dalon, Thierry</dc:creator>
  <cp:lastModifiedBy>Dalon, Thierry</cp:lastModifiedBy>
  <dcterms:created xsi:type="dcterms:W3CDTF">2017-06-01T18:57:37Z</dcterms:created>
  <dcterms:modified xsi:type="dcterms:W3CDTF">2021-01-15T19:59:23Z</dcterms:modified>
</cp:coreProperties>
</file>